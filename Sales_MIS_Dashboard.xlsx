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keshw\Desktop\"/>
    </mc:Choice>
  </mc:AlternateContent>
  <xr:revisionPtr revIDLastSave="0" documentId="13_ncr:1_{6BDD18B4-013E-412C-94AF-4C98D756B214}" xr6:coauthVersionLast="47" xr6:coauthVersionMax="47" xr10:uidLastSave="{00000000-0000-0000-0000-000000000000}"/>
  <bookViews>
    <workbookView xWindow="-110" yWindow="-110" windowWidth="25820" windowHeight="15500" activeTab="5" xr2:uid="{00000000-000D-0000-FFFF-FFFF00000000}"/>
  </bookViews>
  <sheets>
    <sheet name="Sales_Data" sheetId="1" r:id="rId1"/>
    <sheet name="Region_Sales" sheetId="2" r:id="rId2"/>
    <sheet name="Product_Performance" sheetId="4" r:id="rId3"/>
    <sheet name="Monthly_Sales" sheetId="5" r:id="rId4"/>
    <sheet name="Salesperson_Performance" sheetId="6" r:id="rId5"/>
    <sheet name="MIS_Dashboard" sheetId="7" r:id="rId6"/>
  </sheets>
  <definedNames>
    <definedName name="Slicer_Month">#N/A</definedName>
    <definedName name="Slicer_Product">#N/A</definedName>
    <definedName name="Slicer_Region">#N/A</definedName>
    <definedName name="Slicer_Sales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7" l="1"/>
  <c r="C4" i="7"/>
  <c r="E4" i="7"/>
  <c r="A4" i="7"/>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alcChain>
</file>

<file path=xl/sharedStrings.xml><?xml version="1.0" encoding="utf-8"?>
<sst xmlns="http://schemas.openxmlformats.org/spreadsheetml/2006/main" count="2048" uniqueCount="210">
  <si>
    <t>Date</t>
  </si>
  <si>
    <t>Order_ID</t>
  </si>
  <si>
    <t>Region</t>
  </si>
  <si>
    <t>Salesperson</t>
  </si>
  <si>
    <t>Product</t>
  </si>
  <si>
    <t>Quantity</t>
  </si>
  <si>
    <t>Unit_Price</t>
  </si>
  <si>
    <t>Revenue</t>
  </si>
  <si>
    <t>2024-05-01</t>
  </si>
  <si>
    <t>West</t>
  </si>
  <si>
    <t>Rahul</t>
  </si>
  <si>
    <t>Monitor</t>
  </si>
  <si>
    <t>2024-02-10</t>
  </si>
  <si>
    <t>East</t>
  </si>
  <si>
    <t>Anita</t>
  </si>
  <si>
    <t>Keyboard</t>
  </si>
  <si>
    <t>2024-03-15</t>
  </si>
  <si>
    <t>South</t>
  </si>
  <si>
    <t>Priya</t>
  </si>
  <si>
    <t>2024-01-18</t>
  </si>
  <si>
    <t>North</t>
  </si>
  <si>
    <t>Vikram</t>
  </si>
  <si>
    <t>2024-02-23</t>
  </si>
  <si>
    <t>2024-03-29</t>
  </si>
  <si>
    <t>Phone</t>
  </si>
  <si>
    <t>2024-01-25</t>
  </si>
  <si>
    <t>2024-04-15</t>
  </si>
  <si>
    <t>Tablet</t>
  </si>
  <si>
    <t>2024-02-25</t>
  </si>
  <si>
    <t>Headphones</t>
  </si>
  <si>
    <t>2024-03-04</t>
  </si>
  <si>
    <t>Sneha</t>
  </si>
  <si>
    <t>2024-05-13</t>
  </si>
  <si>
    <t>2024-04-08</t>
  </si>
  <si>
    <t>Arjun</t>
  </si>
  <si>
    <t>2024-05-09</t>
  </si>
  <si>
    <t>2024-02-04</t>
  </si>
  <si>
    <t>2024-01-10</t>
  </si>
  <si>
    <t>2024-06-21</t>
  </si>
  <si>
    <t>2024-04-25</t>
  </si>
  <si>
    <t>2024-04-20</t>
  </si>
  <si>
    <t>2024-05-10</t>
  </si>
  <si>
    <t>2024-01-24</t>
  </si>
  <si>
    <t>2024-04-04</t>
  </si>
  <si>
    <t>Laptop</t>
  </si>
  <si>
    <t>2024-02-28</t>
  </si>
  <si>
    <t>2024-04-06</t>
  </si>
  <si>
    <t>2024-02-19</t>
  </si>
  <si>
    <t>2024-01-31</t>
  </si>
  <si>
    <t>2024-03-25</t>
  </si>
  <si>
    <t>2024-01-08</t>
  </si>
  <si>
    <t>2024-04-07</t>
  </si>
  <si>
    <t>2024-03-03</t>
  </si>
  <si>
    <t>2024-03-01</t>
  </si>
  <si>
    <t>2024-03-18</t>
  </si>
  <si>
    <t>2024-02-24</t>
  </si>
  <si>
    <t>2024-02-13</t>
  </si>
  <si>
    <t>2024-04-18</t>
  </si>
  <si>
    <t>2024-06-13</t>
  </si>
  <si>
    <t>2024-05-07</t>
  </si>
  <si>
    <t>2024-01-21</t>
  </si>
  <si>
    <t>2024-04-30</t>
  </si>
  <si>
    <t>2024-04-12</t>
  </si>
  <si>
    <t>2024-01-14</t>
  </si>
  <si>
    <t>2024-01-27</t>
  </si>
  <si>
    <t>2024-02-07</t>
  </si>
  <si>
    <t>2024-05-31</t>
  </si>
  <si>
    <t>2024-05-11</t>
  </si>
  <si>
    <t>2024-06-29</t>
  </si>
  <si>
    <t>2024-04-22</t>
  </si>
  <si>
    <t>2024-05-16</t>
  </si>
  <si>
    <t>2024-03-05</t>
  </si>
  <si>
    <t>2024-04-01</t>
  </si>
  <si>
    <t>2024-02-14</t>
  </si>
  <si>
    <t>2024-05-27</t>
  </si>
  <si>
    <t>2024-03-07</t>
  </si>
  <si>
    <t>2024-06-01</t>
  </si>
  <si>
    <t>2024-03-16</t>
  </si>
  <si>
    <t>2024-04-28</t>
  </si>
  <si>
    <t>2024-01-11</t>
  </si>
  <si>
    <t>2024-05-29</t>
  </si>
  <si>
    <t>2024-02-01</t>
  </si>
  <si>
    <t>2024-04-17</t>
  </si>
  <si>
    <t>2024-06-06</t>
  </si>
  <si>
    <t>2024-03-27</t>
  </si>
  <si>
    <t>2024-03-26</t>
  </si>
  <si>
    <t>2024-02-22</t>
  </si>
  <si>
    <t>2024-05-24</t>
  </si>
  <si>
    <t>2024-04-10</t>
  </si>
  <si>
    <t>2024-06-14</t>
  </si>
  <si>
    <t>2024-02-15</t>
  </si>
  <si>
    <t>2024-02-21</t>
  </si>
  <si>
    <t>2024-01-29</t>
  </si>
  <si>
    <t>2024-05-26</t>
  </si>
  <si>
    <t>2024-04-21</t>
  </si>
  <si>
    <t>2024-02-05</t>
  </si>
  <si>
    <t>2024-05-05</t>
  </si>
  <si>
    <t>2024-05-15</t>
  </si>
  <si>
    <t>2024-05-20</t>
  </si>
  <si>
    <t>2024-05-06</t>
  </si>
  <si>
    <t>2024-05-04</t>
  </si>
  <si>
    <t>2024-05-19</t>
  </si>
  <si>
    <t>2024-02-02</t>
  </si>
  <si>
    <t>2024-03-13</t>
  </si>
  <si>
    <t>2024-06-04</t>
  </si>
  <si>
    <t>2024-04-26</t>
  </si>
  <si>
    <t>2024-06-26</t>
  </si>
  <si>
    <t>2024-03-09</t>
  </si>
  <si>
    <t>2024-03-17</t>
  </si>
  <si>
    <t>2024-01-02</t>
  </si>
  <si>
    <t>2024-01-30</t>
  </si>
  <si>
    <t>2024-04-09</t>
  </si>
  <si>
    <t>2024-02-12</t>
  </si>
  <si>
    <t>2024-06-09</t>
  </si>
  <si>
    <t>2024-02-29</t>
  </si>
  <si>
    <t>2024-01-17</t>
  </si>
  <si>
    <t>2024-02-06</t>
  </si>
  <si>
    <t>2024-06-27</t>
  </si>
  <si>
    <t>2024-01-01</t>
  </si>
  <si>
    <t>2024-01-09</t>
  </si>
  <si>
    <t>2024-03-30</t>
  </si>
  <si>
    <t>2024-03-06</t>
  </si>
  <si>
    <t>2024-01-03</t>
  </si>
  <si>
    <t>2024-06-24</t>
  </si>
  <si>
    <t>2024-03-20</t>
  </si>
  <si>
    <t>2024-01-06</t>
  </si>
  <si>
    <t>2024-01-26</t>
  </si>
  <si>
    <t>2024-05-03</t>
  </si>
  <si>
    <t>2024-05-08</t>
  </si>
  <si>
    <t>2024-03-22</t>
  </si>
  <si>
    <t>2024-06-15</t>
  </si>
  <si>
    <t>2024-04-24</t>
  </si>
  <si>
    <t>2024-04-02</t>
  </si>
  <si>
    <t>2024-01-05</t>
  </si>
  <si>
    <t>2024-04-23</t>
  </si>
  <si>
    <t>2024-05-23</t>
  </si>
  <si>
    <t>2024-05-17</t>
  </si>
  <si>
    <t>2024-04-29</t>
  </si>
  <si>
    <t>2024-05-28</t>
  </si>
  <si>
    <t>2024-03-08</t>
  </si>
  <si>
    <t>2024-05-21</t>
  </si>
  <si>
    <t>2024-02-08</t>
  </si>
  <si>
    <t>2024-03-10</t>
  </si>
  <si>
    <t>2024-06-16</t>
  </si>
  <si>
    <t>2024-05-02</t>
  </si>
  <si>
    <t>2024-05-30</t>
  </si>
  <si>
    <t>2024-02-20</t>
  </si>
  <si>
    <t>2024-03-24</t>
  </si>
  <si>
    <t>2024-01-28</t>
  </si>
  <si>
    <t>2024-02-16</t>
  </si>
  <si>
    <t>2024-01-12</t>
  </si>
  <si>
    <t>2024-02-27</t>
  </si>
  <si>
    <t>2024-04-27</t>
  </si>
  <si>
    <t>2024-04-05</t>
  </si>
  <si>
    <t>2024-06-05</t>
  </si>
  <si>
    <t>2024-01-16</t>
  </si>
  <si>
    <t>2024-03-19</t>
  </si>
  <si>
    <t>2024-03-31</t>
  </si>
  <si>
    <t>2024-02-17</t>
  </si>
  <si>
    <t>2024-01-23</t>
  </si>
  <si>
    <t>2024-06-25</t>
  </si>
  <si>
    <t>2024-03-14</t>
  </si>
  <si>
    <t>2024-06-10</t>
  </si>
  <si>
    <t>2024-02-18</t>
  </si>
  <si>
    <t>2024-03-23</t>
  </si>
  <si>
    <t>2024-04-16</t>
  </si>
  <si>
    <t>2024-06-17</t>
  </si>
  <si>
    <t>2024-02-26</t>
  </si>
  <si>
    <t>2024-04-13</t>
  </si>
  <si>
    <t>2024-02-03</t>
  </si>
  <si>
    <t>2024-04-11</t>
  </si>
  <si>
    <t>2024-01-19</t>
  </si>
  <si>
    <t>2024-03-21</t>
  </si>
  <si>
    <t>2024-06-23</t>
  </si>
  <si>
    <t>2024-03-28</t>
  </si>
  <si>
    <t>2024-01-13</t>
  </si>
  <si>
    <t>2024-03-11</t>
  </si>
  <si>
    <t>2024-06-02</t>
  </si>
  <si>
    <t>2024-06-12</t>
  </si>
  <si>
    <t>2024-06-20</t>
  </si>
  <si>
    <t>2024-05-14</t>
  </si>
  <si>
    <t>2024-04-19</t>
  </si>
  <si>
    <t>2024-02-09</t>
  </si>
  <si>
    <t>2024-03-02</t>
  </si>
  <si>
    <t>2024-05-18</t>
  </si>
  <si>
    <t>2024-02-11</t>
  </si>
  <si>
    <t>2024-01-15</t>
  </si>
  <si>
    <t>2024-01-07</t>
  </si>
  <si>
    <t>2024-01-04</t>
  </si>
  <si>
    <t>2024-06-11</t>
  </si>
  <si>
    <t>2024-06-22</t>
  </si>
  <si>
    <t>2024-01-20</t>
  </si>
  <si>
    <t>2024-06-18</t>
  </si>
  <si>
    <t>2024-06-08</t>
  </si>
  <si>
    <t>2024-04-14</t>
  </si>
  <si>
    <t>Month</t>
  </si>
  <si>
    <t>Sum of Revenue</t>
  </si>
  <si>
    <t>Row Labels</t>
  </si>
  <si>
    <t>Grand Total</t>
  </si>
  <si>
    <t>Jan</t>
  </si>
  <si>
    <t>Feb</t>
  </si>
  <si>
    <t>Mar</t>
  </si>
  <si>
    <t>Apr</t>
  </si>
  <si>
    <t>May</t>
  </si>
  <si>
    <t>Jun</t>
  </si>
  <si>
    <t>Sales MIS Dashboard</t>
  </si>
  <si>
    <t>Total Revenue</t>
  </si>
  <si>
    <t>Total Orders</t>
  </si>
  <si>
    <t>Quantity Sold</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</si>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</sst>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5" formatCode="_ &quot;₹&quot;\ * #,##0_ ;_ &quot;₹&quot;\ * \-#,##0_ ;_ &quot;₹&quot;\ * &quot;-&quot;??_ ;_ @_ "/>
    <numFmt numFmtId="170" formatCode="&quot;₹&quot;\ #,##0"/>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b/>
      <sz val="12"/>
      <color theme="1"/>
      <name val="Calibri"/>
      <family val="2"/>
      <scheme val="minor"/>
    </font>
    <font>
      <b/>
      <sz val="18"/>
      <color theme="1"/>
      <name val="Calibri"/>
      <family val="2"/>
      <scheme val="minor"/>
    </font>
    <font>
      <b/>
      <sz val="22"/>
      <color theme="1"/>
      <name val="Calibri"/>
      <family val="2"/>
      <scheme val="minor"/>
    </font>
    <font>
      <b/>
      <sz val="24"/>
      <color theme="1"/>
      <name val="Calibri"/>
      <family val="2"/>
      <scheme val="minor"/>
    </font>
    <font>
      <b/>
      <sz val="26"/>
      <color theme="1"/>
      <name val="Calibri"/>
      <family val="2"/>
      <scheme val="minor"/>
    </font>
    <font>
      <sz val="16"/>
      <color theme="1"/>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0" fontId="3" fillId="0" borderId="0" xfId="0" applyFont="1"/>
    <xf numFmtId="0" fontId="3" fillId="2" borderId="0" xfId="0" applyFont="1" applyFill="1" applyAlignment="1">
      <alignment horizontal="center"/>
    </xf>
    <xf numFmtId="0" fontId="2" fillId="2" borderId="0" xfId="0" applyFont="1" applyFill="1" applyAlignment="1">
      <alignment horizontal="center"/>
    </xf>
    <xf numFmtId="0" fontId="0" fillId="2" borderId="0" xfId="0" applyFill="1"/>
    <xf numFmtId="0" fontId="4" fillId="2" borderId="0" xfId="0" applyFont="1" applyFill="1"/>
    <xf numFmtId="0" fontId="5" fillId="2" borderId="0" xfId="0" applyFont="1" applyFill="1"/>
    <xf numFmtId="0" fontId="0" fillId="3" borderId="0" xfId="0" applyFill="1"/>
    <xf numFmtId="0" fontId="3" fillId="3" borderId="0" xfId="0" applyFont="1" applyFill="1"/>
    <xf numFmtId="0" fontId="6" fillId="3" borderId="0" xfId="0" applyFont="1" applyFill="1"/>
    <xf numFmtId="44" fontId="0" fillId="2" borderId="0" xfId="0" applyNumberFormat="1" applyFill="1"/>
    <xf numFmtId="0" fontId="0" fillId="0" borderId="0" xfId="0" applyNumberFormat="1"/>
    <xf numFmtId="0" fontId="8" fillId="2" borderId="0" xfId="0" applyFont="1" applyFill="1" applyAlignment="1">
      <alignment horizontal="center"/>
    </xf>
    <xf numFmtId="0" fontId="9" fillId="2" borderId="0" xfId="0" applyFont="1" applyFill="1" applyAlignment="1">
      <alignment horizontal="center"/>
    </xf>
    <xf numFmtId="165" fontId="7" fillId="2" borderId="0" xfId="1" applyNumberFormat="1" applyFont="1" applyFill="1" applyAlignment="1">
      <alignment horizontal="center"/>
    </xf>
    <xf numFmtId="0" fontId="7" fillId="2" borderId="0" xfId="1" applyNumberFormat="1" applyFont="1" applyFill="1" applyAlignment="1">
      <alignment horizontal="center"/>
    </xf>
    <xf numFmtId="170" fontId="7" fillId="2" borderId="0" xfId="1" applyNumberFormat="1" applyFont="1" applyFill="1" applyAlignment="1">
      <alignment horizontal="center"/>
    </xf>
    <xf numFmtId="0" fontId="0" fillId="0" borderId="0" xfId="1" applyNumberFormat="1" applyFont="1"/>
  </cellXfs>
  <cellStyles count="2">
    <cellStyle name="Currency" xfId="1" builtinId="4"/>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[mis_sales_dataset.xlsx]Region_Sales!PivotTable1</c:name>
    <c:fmtId val="4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 by Region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Region_Sales!$B$1</c:f>
              <c:strCache>
                <c:ptCount val="1"/>
                <c:pt idx="0">
                  <c:v>Total</c:v>
                </c:pt>
              </c:strCache>
            </c:strRef>
          </c:tx>
          <c:spPr>
            <a:solidFill>
              <a:schemeClr val="accent1"/>
            </a:solidFill>
            <a:ln>
              <a:noFill/>
            </a:ln>
            <a:effectLst/>
          </c:spPr>
          <c:invertIfNegative val="0"/>
          <c:cat>
            <c:strRef>
              <c:f>Region_Sales!$A$2:$A$6</c:f>
              <c:strCache>
                <c:ptCount val="4"/>
                <c:pt idx="0">
                  <c:v>East</c:v>
                </c:pt>
                <c:pt idx="1">
                  <c:v>North</c:v>
                </c:pt>
                <c:pt idx="2">
                  <c:v>South</c:v>
                </c:pt>
                <c:pt idx="3">
                  <c:v>West</c:v>
                </c:pt>
              </c:strCache>
            </c:strRef>
          </c:cat>
          <c:val>
            <c:numRef>
              <c:f>Region_Sales!$B$2:$B$6</c:f>
              <c:numCache>
                <c:formatCode>General</c:formatCode>
                <c:ptCount val="4"/>
                <c:pt idx="0">
                  <c:v>7538000</c:v>
                </c:pt>
                <c:pt idx="1">
                  <c:v>6788000</c:v>
                </c:pt>
                <c:pt idx="2">
                  <c:v>8144000</c:v>
                </c:pt>
                <c:pt idx="3">
                  <c:v>6657000</c:v>
                </c:pt>
              </c:numCache>
            </c:numRef>
          </c:val>
          <c:extLst>
            <c:ext xmlns:c16="http://schemas.microsoft.com/office/drawing/2014/chart" uri="{C3380CC4-5D6E-409C-BE32-E72D297353CC}">
              <c16:uniqueId val="{00000000-ACE5-466A-A16E-990D20A8472E}"/>
            </c:ext>
          </c:extLst>
        </c:ser>
        <c:dLbls>
          <c:showLegendKey val="0"/>
          <c:showVal val="0"/>
          <c:showCatName val="0"/>
          <c:showSerName val="0"/>
          <c:showPercent val="0"/>
          <c:showBubbleSize val="0"/>
        </c:dLbls>
        <c:gapWidth val="182"/>
        <c:axId val="651253072"/>
        <c:axId val="651253552"/>
      </c:barChart>
      <c:catAx>
        <c:axId val="65125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53552"/>
        <c:crosses val="autoZero"/>
        <c:auto val="1"/>
        <c:lblAlgn val="ctr"/>
        <c:lblOffset val="100"/>
        <c:noMultiLvlLbl val="0"/>
      </c:catAx>
      <c:valAx>
        <c:axId val="651253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5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[mis_sales_dataset.xlsx]Product_Performance!PivotTable2</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Revenue by Product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Product_Performance!$B$1</c:f>
              <c:strCache>
                <c:ptCount val="1"/>
                <c:pt idx="0">
                  <c:v>Total</c:v>
                </c:pt>
              </c:strCache>
            </c:strRef>
          </c:tx>
          <c:spPr>
            <a:solidFill>
              <a:schemeClr val="accent1"/>
            </a:solidFill>
            <a:ln>
              <a:noFill/>
            </a:ln>
            <a:effectLst/>
          </c:spPr>
          <c:invertIfNegative val="0"/>
          <c:cat>
            <c:strRef>
              <c:f>Product_Performance!$A$2:$A$8</c:f>
              <c:strCache>
                <c:ptCount val="6"/>
                <c:pt idx="0">
                  <c:v>Laptop</c:v>
                </c:pt>
                <c:pt idx="1">
                  <c:v>Tablet</c:v>
                </c:pt>
                <c:pt idx="2">
                  <c:v>Phone</c:v>
                </c:pt>
                <c:pt idx="3">
                  <c:v>Monitor</c:v>
                </c:pt>
                <c:pt idx="4">
                  <c:v>Headphones</c:v>
                </c:pt>
                <c:pt idx="5">
                  <c:v>Keyboard</c:v>
                </c:pt>
              </c:strCache>
            </c:strRef>
          </c:cat>
          <c:val>
            <c:numRef>
              <c:f>Product_Performance!$B$2:$B$8</c:f>
              <c:numCache>
                <c:formatCode>General</c:formatCode>
                <c:ptCount val="6"/>
                <c:pt idx="0">
                  <c:v>12600000</c:v>
                </c:pt>
                <c:pt idx="1">
                  <c:v>6600000</c:v>
                </c:pt>
                <c:pt idx="2">
                  <c:v>4340000</c:v>
                </c:pt>
                <c:pt idx="3">
                  <c:v>4125000</c:v>
                </c:pt>
                <c:pt idx="4">
                  <c:v>924000</c:v>
                </c:pt>
                <c:pt idx="5">
                  <c:v>538000</c:v>
                </c:pt>
              </c:numCache>
            </c:numRef>
          </c:val>
          <c:extLst>
            <c:ext xmlns:c16="http://schemas.microsoft.com/office/drawing/2014/chart" uri="{C3380CC4-5D6E-409C-BE32-E72D297353CC}">
              <c16:uniqueId val="{00000000-D239-4FDB-958B-C5EA107B0E50}"/>
            </c:ext>
          </c:extLst>
        </c:ser>
        <c:dLbls>
          <c:showLegendKey val="0"/>
          <c:showVal val="0"/>
          <c:showCatName val="0"/>
          <c:showSerName val="0"/>
          <c:showPercent val="0"/>
          <c:showBubbleSize val="0"/>
        </c:dLbls>
        <c:gapWidth val="219"/>
        <c:overlap val="-27"/>
        <c:axId val="651254032"/>
        <c:axId val="651254512"/>
      </c:barChart>
      <c:catAx>
        <c:axId val="65125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54512"/>
        <c:crosses val="autoZero"/>
        <c:auto val="1"/>
        <c:lblAlgn val="ctr"/>
        <c:lblOffset val="100"/>
        <c:noMultiLvlLbl val="0"/>
      </c:catAx>
      <c:valAx>
        <c:axId val="65125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5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[mis_sales_dataset.xlsx]Monthly_Sales!PivotTable3</c:name>
    <c:fmtId val="2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Monthly Sales Trend</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Monthly_Sales!$B$1</c:f>
              <c:strCache>
                <c:ptCount val="1"/>
                <c:pt idx="0">
                  <c:v>Total</c:v>
                </c:pt>
              </c:strCache>
            </c:strRef>
          </c:tx>
          <c:spPr>
            <a:ln w="28575" cap="rnd">
              <a:solidFill>
                <a:schemeClr val="accent1"/>
              </a:solidFill>
              <a:round/>
            </a:ln>
            <a:effectLst/>
          </c:spPr>
          <c:marker>
            <c:symbol val="none"/>
          </c:marker>
          <c:cat>
            <c:strRef>
              <c:f>Monthly_Sales!$A$2:$A$8</c:f>
              <c:strCache>
                <c:ptCount val="6"/>
                <c:pt idx="0">
                  <c:v>Jan</c:v>
                </c:pt>
                <c:pt idx="1">
                  <c:v>Feb</c:v>
                </c:pt>
                <c:pt idx="2">
                  <c:v>Mar</c:v>
                </c:pt>
                <c:pt idx="3">
                  <c:v>Apr</c:v>
                </c:pt>
                <c:pt idx="4">
                  <c:v>May</c:v>
                </c:pt>
                <c:pt idx="5">
                  <c:v>Jun</c:v>
                </c:pt>
              </c:strCache>
            </c:strRef>
          </c:cat>
          <c:val>
            <c:numRef>
              <c:f>Monthly_Sales!$B$2:$B$8</c:f>
              <c:numCache>
                <c:formatCode>General</c:formatCode>
                <c:ptCount val="6"/>
                <c:pt idx="0">
                  <c:v>4682000</c:v>
                </c:pt>
                <c:pt idx="1">
                  <c:v>5798000</c:v>
                </c:pt>
                <c:pt idx="2">
                  <c:v>5488000</c:v>
                </c:pt>
                <c:pt idx="3">
                  <c:v>4916000</c:v>
                </c:pt>
                <c:pt idx="4">
                  <c:v>4766000</c:v>
                </c:pt>
                <c:pt idx="5">
                  <c:v>3477000</c:v>
                </c:pt>
              </c:numCache>
            </c:numRef>
          </c:val>
          <c:smooth val="0"/>
          <c:extLst>
            <c:ext xmlns:c16="http://schemas.microsoft.com/office/drawing/2014/chart" uri="{C3380CC4-5D6E-409C-BE32-E72D297353CC}">
              <c16:uniqueId val="{00000000-43D9-47DD-984A-92A659F28CDC}"/>
            </c:ext>
          </c:extLst>
        </c:ser>
        <c:dLbls>
          <c:showLegendKey val="0"/>
          <c:showVal val="0"/>
          <c:showCatName val="0"/>
          <c:showSerName val="0"/>
          <c:showPercent val="0"/>
          <c:showBubbleSize val="0"/>
        </c:dLbls>
        <c:smooth val="0"/>
        <c:axId val="651217072"/>
        <c:axId val="651217552"/>
      </c:lineChart>
      <c:catAx>
        <c:axId val="65121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17552"/>
        <c:crosses val="autoZero"/>
        <c:auto val="1"/>
        <c:lblAlgn val="ctr"/>
        <c:lblOffset val="100"/>
        <c:noMultiLvlLbl val="0"/>
      </c:catAx>
      <c:valAx>
        <c:axId val="65121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1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[mis_sales_dataset.xlsx]Salesperson_Performance!PivotTable4</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Revenue by Salesperson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Salesperson_Performance!$B$1</c:f>
              <c:strCache>
                <c:ptCount val="1"/>
                <c:pt idx="0">
                  <c:v>Total</c:v>
                </c:pt>
              </c:strCache>
            </c:strRef>
          </c:tx>
          <c:spPr>
            <a:solidFill>
              <a:schemeClr val="accent1"/>
            </a:solidFill>
            <a:ln>
              <a:noFill/>
            </a:ln>
            <a:effectLst/>
          </c:spPr>
          <c:invertIfNegative val="0"/>
          <c:cat>
            <c:strRef>
              <c:f>Salesperson_Performance!$A$2:$A$8</c:f>
              <c:strCache>
                <c:ptCount val="6"/>
                <c:pt idx="0">
                  <c:v>Anita</c:v>
                </c:pt>
                <c:pt idx="1">
                  <c:v>Arjun</c:v>
                </c:pt>
                <c:pt idx="2">
                  <c:v>Priya</c:v>
                </c:pt>
                <c:pt idx="3">
                  <c:v>Rahul</c:v>
                </c:pt>
                <c:pt idx="4">
                  <c:v>Sneha</c:v>
                </c:pt>
                <c:pt idx="5">
                  <c:v>Vikram</c:v>
                </c:pt>
              </c:strCache>
            </c:strRef>
          </c:cat>
          <c:val>
            <c:numRef>
              <c:f>Salesperson_Performance!$B$2:$B$8</c:f>
              <c:numCache>
                <c:formatCode>General</c:formatCode>
                <c:ptCount val="6"/>
                <c:pt idx="0">
                  <c:v>4048000</c:v>
                </c:pt>
                <c:pt idx="1">
                  <c:v>3994000</c:v>
                </c:pt>
                <c:pt idx="2">
                  <c:v>4207000</c:v>
                </c:pt>
                <c:pt idx="3">
                  <c:v>4457000</c:v>
                </c:pt>
                <c:pt idx="4">
                  <c:v>5584000</c:v>
                </c:pt>
                <c:pt idx="5">
                  <c:v>6837000</c:v>
                </c:pt>
              </c:numCache>
            </c:numRef>
          </c:val>
          <c:extLst>
            <c:ext xmlns:c16="http://schemas.microsoft.com/office/drawing/2014/chart" uri="{C3380CC4-5D6E-409C-BE32-E72D297353CC}">
              <c16:uniqueId val="{00000000-EBC4-412C-8270-53B6E88BC066}"/>
            </c:ext>
          </c:extLst>
        </c:ser>
        <c:dLbls>
          <c:showLegendKey val="0"/>
          <c:showVal val="0"/>
          <c:showCatName val="0"/>
          <c:showSerName val="0"/>
          <c:showPercent val="0"/>
          <c:showBubbleSize val="0"/>
        </c:dLbls>
        <c:gapWidth val="219"/>
        <c:overlap val="-27"/>
        <c:axId val="651257872"/>
        <c:axId val="651258352"/>
      </c:barChart>
      <c:catAx>
        <c:axId val="65125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58352"/>
        <c:crosses val="autoZero"/>
        <c:auto val="1"/>
        <c:lblAlgn val="ctr"/>
        <c:lblOffset val="100"/>
        <c:noMultiLvlLbl val="0"/>
      </c:catAx>
      <c:valAx>
        <c:axId val="65125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5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12</xdr:col>
      <xdr:colOff>105360</xdr:colOff>
      <xdr:row>19</xdr:row>
      <xdr:rowOff>131778</xdr:rowOff>
    </xdr:to>
    <xdr:grpSp>
      <xdr:nvGrpSpPr>
        <xdr:cNvPr id="11" name="Group 10">
          <a:extLst>
            <a:ext uri="{FF2B5EF4-FFF2-40B4-BE49-F238E27FC236}">
              <a16:creationId xmlns:a16="http://schemas.microsoft.com/office/drawing/2014/main" id="{FEA6596D-40FF-CC2D-62A4-693DF9AAD283}"/>
            </a:ext>
          </a:extLst>
        </xdr:cNvPr>
        <xdr:cNvGrpSpPr/>
      </xdr:nvGrpSpPr>
      <xdr:grpSpPr>
        <a:xfrm>
          <a:off x="0" y="2690813"/>
          <a:ext cx="11717923" cy="2687653"/>
          <a:chOff x="0" y="2534383"/>
          <a:chExt cx="11717923" cy="2687653"/>
        </a:xfrm>
      </xdr:grpSpPr>
      <xdr:graphicFrame macro="">
        <xdr:nvGraphicFramePr>
          <xdr:cNvPr id="2" name="Chart 1">
            <a:extLst>
              <a:ext uri="{FF2B5EF4-FFF2-40B4-BE49-F238E27FC236}">
                <a16:creationId xmlns:a16="http://schemas.microsoft.com/office/drawing/2014/main" id="{C659E1B4-90FE-47B4-A61E-F11C141AB6EB}"/>
              </a:ext>
            </a:extLst>
          </xdr:cNvPr>
          <xdr:cNvGraphicFramePr>
            <a:graphicFrameLocks/>
          </xdr:cNvGraphicFramePr>
        </xdr:nvGraphicFramePr>
        <xdr:xfrm>
          <a:off x="0" y="2534383"/>
          <a:ext cx="5335369" cy="268765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8C99506B-038D-4B40-B099-01B97BDEE47B}"/>
              </a:ext>
            </a:extLst>
          </xdr:cNvPr>
          <xdr:cNvGraphicFramePr>
            <a:graphicFrameLocks/>
          </xdr:cNvGraphicFramePr>
        </xdr:nvGraphicFramePr>
        <xdr:xfrm>
          <a:off x="5520896" y="2534383"/>
          <a:ext cx="6197027" cy="268765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16605</xdr:colOff>
      <xdr:row>21</xdr:row>
      <xdr:rowOff>0</xdr:rowOff>
    </xdr:from>
    <xdr:to>
      <xdr:col>12</xdr:col>
      <xdr:colOff>116441</xdr:colOff>
      <xdr:row>35</xdr:row>
      <xdr:rowOff>130895</xdr:rowOff>
    </xdr:to>
    <xdr:grpSp>
      <xdr:nvGrpSpPr>
        <xdr:cNvPr id="12" name="Group 11">
          <a:extLst>
            <a:ext uri="{FF2B5EF4-FFF2-40B4-BE49-F238E27FC236}">
              <a16:creationId xmlns:a16="http://schemas.microsoft.com/office/drawing/2014/main" id="{3773AF63-0D27-C1D2-D5D1-6424A8501421}"/>
            </a:ext>
          </a:extLst>
        </xdr:cNvPr>
        <xdr:cNvGrpSpPr/>
      </xdr:nvGrpSpPr>
      <xdr:grpSpPr>
        <a:xfrm>
          <a:off x="16605" y="5611813"/>
          <a:ext cx="11712399" cy="2686770"/>
          <a:chOff x="16605" y="5389475"/>
          <a:chExt cx="11712399" cy="2686770"/>
        </a:xfrm>
      </xdr:grpSpPr>
      <xdr:graphicFrame macro="">
        <xdr:nvGraphicFramePr>
          <xdr:cNvPr id="4" name="Chart 3">
            <a:extLst>
              <a:ext uri="{FF2B5EF4-FFF2-40B4-BE49-F238E27FC236}">
                <a16:creationId xmlns:a16="http://schemas.microsoft.com/office/drawing/2014/main" id="{57BC7673-63F4-4A21-A60C-399C7C4C13E3}"/>
              </a:ext>
            </a:extLst>
          </xdr:cNvPr>
          <xdr:cNvGraphicFramePr>
            <a:graphicFrameLocks/>
          </xdr:cNvGraphicFramePr>
        </xdr:nvGraphicFramePr>
        <xdr:xfrm>
          <a:off x="16605" y="5389475"/>
          <a:ext cx="5335369" cy="268677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551544B3-F4AD-46A5-80A4-6096F3371B45}"/>
              </a:ext>
            </a:extLst>
          </xdr:cNvPr>
          <xdr:cNvGraphicFramePr>
            <a:graphicFrameLocks/>
          </xdr:cNvGraphicFramePr>
        </xdr:nvGraphicFramePr>
        <xdr:xfrm>
          <a:off x="5531977" y="5389475"/>
          <a:ext cx="6197027" cy="268677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71550</xdr:colOff>
      <xdr:row>1</xdr:row>
      <xdr:rowOff>44448</xdr:rowOff>
    </xdr:from>
    <xdr:to>
      <xdr:col>12</xdr:col>
      <xdr:colOff>133798</xdr:colOff>
      <xdr:row>1</xdr:row>
      <xdr:rowOff>1232448</xdr:rowOff>
    </xdr:to>
    <xdr:grpSp>
      <xdr:nvGrpSpPr>
        <xdr:cNvPr id="8" name="Group 7">
          <a:extLst>
            <a:ext uri="{FF2B5EF4-FFF2-40B4-BE49-F238E27FC236}">
              <a16:creationId xmlns:a16="http://schemas.microsoft.com/office/drawing/2014/main" id="{295FE187-BE46-08EA-3E6D-F3B374E7588F}"/>
            </a:ext>
          </a:extLst>
        </xdr:cNvPr>
        <xdr:cNvGrpSpPr/>
      </xdr:nvGrpSpPr>
      <xdr:grpSpPr>
        <a:xfrm>
          <a:off x="71550" y="568323"/>
          <a:ext cx="11674811" cy="1188000"/>
          <a:chOff x="71550" y="544509"/>
          <a:chExt cx="11674811" cy="1188000"/>
        </a:xfrm>
      </xdr:grpSpPr>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C27F328A-0AA2-4079-95DB-71F4139D5194}"/>
                  </a:ext>
                </a:extLst>
              </xdr:cNvPr>
              <xdr:cNvGraphicFramePr/>
            </xdr:nvGraphicFramePr>
            <xdr:xfrm>
              <a:off x="9410096" y="544509"/>
              <a:ext cx="2336265" cy="118800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410096" y="568323"/>
                <a:ext cx="2336265"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Product 1">
                <a:extLst>
                  <a:ext uri="{FF2B5EF4-FFF2-40B4-BE49-F238E27FC236}">
                    <a16:creationId xmlns:a16="http://schemas.microsoft.com/office/drawing/2014/main" id="{CC1E27B1-C7EE-4A01-AAB3-2802C546F6A0}"/>
                  </a:ext>
                </a:extLst>
              </xdr:cNvPr>
              <xdr:cNvGraphicFramePr/>
            </xdr:nvGraphicFramePr>
            <xdr:xfrm>
              <a:off x="3178951" y="544509"/>
              <a:ext cx="2334864" cy="118800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178951" y="568323"/>
                <a:ext cx="2334864"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Salesperson">
                <a:extLst>
                  <a:ext uri="{FF2B5EF4-FFF2-40B4-BE49-F238E27FC236}">
                    <a16:creationId xmlns:a16="http://schemas.microsoft.com/office/drawing/2014/main" id="{0D49319B-B0EE-4AEF-BD6F-8A0DEBC7D228}"/>
                  </a:ext>
                </a:extLst>
              </xdr:cNvPr>
              <xdr:cNvGraphicFramePr/>
            </xdr:nvGraphicFramePr>
            <xdr:xfrm>
              <a:off x="6278881" y="544509"/>
              <a:ext cx="2334397" cy="118800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278881" y="568323"/>
                <a:ext cx="2334397"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A1DCA0DE-6B36-4F48-B157-F4518637C743}"/>
                  </a:ext>
                </a:extLst>
              </xdr:cNvPr>
              <xdr:cNvGraphicFramePr/>
            </xdr:nvGraphicFramePr>
            <xdr:xfrm>
              <a:off x="71550" y="544509"/>
              <a:ext cx="2342335" cy="118800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1550" y="568323"/>
                <a:ext cx="2342335"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hwanth GP" refreshedDate="46089.831927893516" createdVersion="8" refreshedVersion="8" minRefreshableVersion="3" recordCount="500" xr:uid="{BB3BDF71-DE3D-4236-BBA4-FE6416B33F53}">
  <cacheSource type="worksheet">
    <worksheetSource name="SalesData"/>
  </cacheSource>
  <cacheFields count="9">
    <cacheField name="Date" numFmtId="0">
      <sharedItems/>
    </cacheField>
    <cacheField name="Order_ID" numFmtId="0">
      <sharedItems containsSemiMixedTypes="0" containsString="0" containsNumber="1" containsInteger="1" minValue="1001" maxValue="1500"/>
    </cacheField>
    <cacheField name="Region" numFmtId="0">
      <sharedItems count="4">
        <s v="West"/>
        <s v="East"/>
        <s v="South"/>
        <s v="North"/>
      </sharedItems>
    </cacheField>
    <cacheField name="Salesperson" numFmtId="0">
      <sharedItems count="6">
        <s v="Rahul"/>
        <s v="Anita"/>
        <s v="Priya"/>
        <s v="Vikram"/>
        <s v="Sneha"/>
        <s v="Arjun"/>
      </sharedItems>
    </cacheField>
    <cacheField name="Product" numFmtId="0">
      <sharedItems count="6">
        <s v="Monitor"/>
        <s v="Keyboard"/>
        <s v="Phone"/>
        <s v="Tablet"/>
        <s v="Headphones"/>
        <s v="Laptop"/>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2000" maxValue="50000"/>
    </cacheField>
    <cacheField name="Revenue" numFmtId="0">
      <sharedItems containsSemiMixedTypes="0" containsString="0" containsNumber="1" containsInteger="1" minValue="2000" maxValue="250000"/>
    </cacheField>
    <cacheField name="Month" numFmtId="0">
      <sharedItems count="6">
        <s v="May"/>
        <s v="Feb"/>
        <s v="Mar"/>
        <s v="Jan"/>
        <s v="Apr"/>
        <s v="Jun"/>
      </sharedItems>
    </cacheField>
  </cacheFields>
  <extLst>
    <ext xmlns:x14="http://schemas.microsoft.com/office/spreadsheetml/2009/9/main" uri="{725AE2AE-9491-48be-B2B4-4EB974FC3084}">
      <x14:pivotCacheDefinition pivotCacheId="1917211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2024-05-01"/>
    <n v="1001"/>
    <x v="0"/>
    <x v="0"/>
    <x v="0"/>
    <n v="3"/>
    <n v="15000"/>
    <n v="45000"/>
    <x v="0"/>
  </r>
  <r>
    <s v="2024-02-10"/>
    <n v="1002"/>
    <x v="1"/>
    <x v="1"/>
    <x v="1"/>
    <n v="4"/>
    <n v="2000"/>
    <n v="8000"/>
    <x v="1"/>
  </r>
  <r>
    <s v="2024-03-15"/>
    <n v="1003"/>
    <x v="2"/>
    <x v="2"/>
    <x v="1"/>
    <n v="3"/>
    <n v="2000"/>
    <n v="6000"/>
    <x v="2"/>
  </r>
  <r>
    <s v="2024-01-18"/>
    <n v="1004"/>
    <x v="3"/>
    <x v="3"/>
    <x v="1"/>
    <n v="1"/>
    <n v="2000"/>
    <n v="2000"/>
    <x v="3"/>
  </r>
  <r>
    <s v="2024-02-23"/>
    <n v="1005"/>
    <x v="3"/>
    <x v="2"/>
    <x v="1"/>
    <n v="3"/>
    <n v="2000"/>
    <n v="6000"/>
    <x v="1"/>
  </r>
  <r>
    <s v="2024-03-29"/>
    <n v="1006"/>
    <x v="1"/>
    <x v="2"/>
    <x v="2"/>
    <n v="2"/>
    <n v="20000"/>
    <n v="40000"/>
    <x v="2"/>
  </r>
  <r>
    <s v="2024-01-25"/>
    <n v="1007"/>
    <x v="0"/>
    <x v="3"/>
    <x v="1"/>
    <n v="3"/>
    <n v="2000"/>
    <n v="6000"/>
    <x v="3"/>
  </r>
  <r>
    <s v="2024-04-15"/>
    <n v="1008"/>
    <x v="2"/>
    <x v="0"/>
    <x v="3"/>
    <n v="5"/>
    <n v="30000"/>
    <n v="150000"/>
    <x v="4"/>
  </r>
  <r>
    <s v="2024-02-25"/>
    <n v="1009"/>
    <x v="2"/>
    <x v="0"/>
    <x v="4"/>
    <n v="2"/>
    <n v="4000"/>
    <n v="8000"/>
    <x v="1"/>
  </r>
  <r>
    <s v="2024-03-04"/>
    <n v="1010"/>
    <x v="0"/>
    <x v="4"/>
    <x v="0"/>
    <n v="2"/>
    <n v="15000"/>
    <n v="30000"/>
    <x v="2"/>
  </r>
  <r>
    <s v="2024-05-13"/>
    <n v="1011"/>
    <x v="1"/>
    <x v="4"/>
    <x v="0"/>
    <n v="1"/>
    <n v="15000"/>
    <n v="15000"/>
    <x v="0"/>
  </r>
  <r>
    <s v="2024-04-08"/>
    <n v="1012"/>
    <x v="0"/>
    <x v="5"/>
    <x v="0"/>
    <n v="2"/>
    <n v="15000"/>
    <n v="30000"/>
    <x v="4"/>
  </r>
  <r>
    <s v="2024-04-08"/>
    <n v="1013"/>
    <x v="3"/>
    <x v="4"/>
    <x v="2"/>
    <n v="5"/>
    <n v="20000"/>
    <n v="100000"/>
    <x v="4"/>
  </r>
  <r>
    <s v="2024-05-09"/>
    <n v="1014"/>
    <x v="1"/>
    <x v="0"/>
    <x v="2"/>
    <n v="4"/>
    <n v="20000"/>
    <n v="80000"/>
    <x v="0"/>
  </r>
  <r>
    <s v="2024-02-04"/>
    <n v="1015"/>
    <x v="1"/>
    <x v="5"/>
    <x v="2"/>
    <n v="5"/>
    <n v="20000"/>
    <n v="100000"/>
    <x v="1"/>
  </r>
  <r>
    <s v="2024-01-10"/>
    <n v="1016"/>
    <x v="0"/>
    <x v="2"/>
    <x v="2"/>
    <n v="4"/>
    <n v="20000"/>
    <n v="80000"/>
    <x v="3"/>
  </r>
  <r>
    <s v="2024-01-18"/>
    <n v="1017"/>
    <x v="2"/>
    <x v="1"/>
    <x v="0"/>
    <n v="4"/>
    <n v="15000"/>
    <n v="60000"/>
    <x v="3"/>
  </r>
  <r>
    <s v="2024-01-25"/>
    <n v="1018"/>
    <x v="3"/>
    <x v="0"/>
    <x v="0"/>
    <n v="3"/>
    <n v="15000"/>
    <n v="45000"/>
    <x v="3"/>
  </r>
  <r>
    <s v="2024-06-21"/>
    <n v="1019"/>
    <x v="3"/>
    <x v="3"/>
    <x v="3"/>
    <n v="4"/>
    <n v="30000"/>
    <n v="120000"/>
    <x v="5"/>
  </r>
  <r>
    <s v="2024-04-25"/>
    <n v="1020"/>
    <x v="1"/>
    <x v="0"/>
    <x v="4"/>
    <n v="5"/>
    <n v="4000"/>
    <n v="20000"/>
    <x v="4"/>
  </r>
  <r>
    <s v="2024-04-20"/>
    <n v="1021"/>
    <x v="3"/>
    <x v="1"/>
    <x v="2"/>
    <n v="1"/>
    <n v="20000"/>
    <n v="20000"/>
    <x v="4"/>
  </r>
  <r>
    <s v="2024-05-10"/>
    <n v="1022"/>
    <x v="0"/>
    <x v="3"/>
    <x v="3"/>
    <n v="1"/>
    <n v="30000"/>
    <n v="30000"/>
    <x v="0"/>
  </r>
  <r>
    <s v="2024-01-24"/>
    <n v="1023"/>
    <x v="1"/>
    <x v="3"/>
    <x v="0"/>
    <n v="5"/>
    <n v="15000"/>
    <n v="75000"/>
    <x v="3"/>
  </r>
  <r>
    <s v="2024-04-04"/>
    <n v="1024"/>
    <x v="0"/>
    <x v="4"/>
    <x v="2"/>
    <n v="2"/>
    <n v="20000"/>
    <n v="40000"/>
    <x v="4"/>
  </r>
  <r>
    <s v="2024-02-04"/>
    <n v="1025"/>
    <x v="1"/>
    <x v="4"/>
    <x v="5"/>
    <n v="1"/>
    <n v="50000"/>
    <n v="50000"/>
    <x v="1"/>
  </r>
  <r>
    <s v="2024-02-28"/>
    <n v="1026"/>
    <x v="3"/>
    <x v="4"/>
    <x v="0"/>
    <n v="1"/>
    <n v="15000"/>
    <n v="15000"/>
    <x v="1"/>
  </r>
  <r>
    <s v="2024-04-06"/>
    <n v="1027"/>
    <x v="1"/>
    <x v="0"/>
    <x v="3"/>
    <n v="1"/>
    <n v="30000"/>
    <n v="30000"/>
    <x v="4"/>
  </r>
  <r>
    <s v="2024-02-19"/>
    <n v="1028"/>
    <x v="2"/>
    <x v="3"/>
    <x v="1"/>
    <n v="1"/>
    <n v="2000"/>
    <n v="2000"/>
    <x v="1"/>
  </r>
  <r>
    <s v="2024-01-31"/>
    <n v="1029"/>
    <x v="2"/>
    <x v="3"/>
    <x v="5"/>
    <n v="5"/>
    <n v="50000"/>
    <n v="250000"/>
    <x v="3"/>
  </r>
  <r>
    <s v="2024-03-25"/>
    <n v="1030"/>
    <x v="2"/>
    <x v="0"/>
    <x v="1"/>
    <n v="4"/>
    <n v="2000"/>
    <n v="8000"/>
    <x v="2"/>
  </r>
  <r>
    <s v="2024-01-08"/>
    <n v="1031"/>
    <x v="0"/>
    <x v="4"/>
    <x v="1"/>
    <n v="5"/>
    <n v="2000"/>
    <n v="10000"/>
    <x v="3"/>
  </r>
  <r>
    <s v="2024-03-04"/>
    <n v="1032"/>
    <x v="2"/>
    <x v="5"/>
    <x v="3"/>
    <n v="5"/>
    <n v="30000"/>
    <n v="150000"/>
    <x v="2"/>
  </r>
  <r>
    <s v="2024-04-07"/>
    <n v="1033"/>
    <x v="1"/>
    <x v="3"/>
    <x v="4"/>
    <n v="5"/>
    <n v="4000"/>
    <n v="20000"/>
    <x v="4"/>
  </r>
  <r>
    <s v="2024-03-03"/>
    <n v="1034"/>
    <x v="0"/>
    <x v="2"/>
    <x v="3"/>
    <n v="4"/>
    <n v="30000"/>
    <n v="120000"/>
    <x v="2"/>
  </r>
  <r>
    <s v="2024-03-01"/>
    <n v="1035"/>
    <x v="3"/>
    <x v="5"/>
    <x v="3"/>
    <n v="5"/>
    <n v="30000"/>
    <n v="150000"/>
    <x v="2"/>
  </r>
  <r>
    <s v="2024-03-18"/>
    <n v="1036"/>
    <x v="1"/>
    <x v="4"/>
    <x v="0"/>
    <n v="4"/>
    <n v="15000"/>
    <n v="60000"/>
    <x v="2"/>
  </r>
  <r>
    <s v="2024-02-24"/>
    <n v="1037"/>
    <x v="2"/>
    <x v="1"/>
    <x v="0"/>
    <n v="4"/>
    <n v="15000"/>
    <n v="60000"/>
    <x v="1"/>
  </r>
  <r>
    <s v="2024-02-13"/>
    <n v="1038"/>
    <x v="2"/>
    <x v="4"/>
    <x v="2"/>
    <n v="5"/>
    <n v="20000"/>
    <n v="100000"/>
    <x v="1"/>
  </r>
  <r>
    <s v="2024-04-18"/>
    <n v="1039"/>
    <x v="2"/>
    <x v="3"/>
    <x v="2"/>
    <n v="2"/>
    <n v="20000"/>
    <n v="40000"/>
    <x v="4"/>
  </r>
  <r>
    <s v="2024-06-21"/>
    <n v="1040"/>
    <x v="3"/>
    <x v="3"/>
    <x v="1"/>
    <n v="1"/>
    <n v="2000"/>
    <n v="2000"/>
    <x v="5"/>
  </r>
  <r>
    <s v="2024-06-13"/>
    <n v="1041"/>
    <x v="1"/>
    <x v="4"/>
    <x v="1"/>
    <n v="1"/>
    <n v="2000"/>
    <n v="2000"/>
    <x v="5"/>
  </r>
  <r>
    <s v="2024-05-07"/>
    <n v="1042"/>
    <x v="0"/>
    <x v="1"/>
    <x v="3"/>
    <n v="3"/>
    <n v="30000"/>
    <n v="90000"/>
    <x v="0"/>
  </r>
  <r>
    <s v="2024-01-21"/>
    <n v="1043"/>
    <x v="0"/>
    <x v="0"/>
    <x v="3"/>
    <n v="5"/>
    <n v="30000"/>
    <n v="150000"/>
    <x v="3"/>
  </r>
  <r>
    <s v="2024-04-30"/>
    <n v="1044"/>
    <x v="2"/>
    <x v="1"/>
    <x v="1"/>
    <n v="1"/>
    <n v="2000"/>
    <n v="2000"/>
    <x v="4"/>
  </r>
  <r>
    <s v="2024-04-12"/>
    <n v="1045"/>
    <x v="3"/>
    <x v="0"/>
    <x v="1"/>
    <n v="4"/>
    <n v="2000"/>
    <n v="8000"/>
    <x v="4"/>
  </r>
  <r>
    <s v="2024-01-14"/>
    <n v="1046"/>
    <x v="2"/>
    <x v="2"/>
    <x v="0"/>
    <n v="4"/>
    <n v="15000"/>
    <n v="60000"/>
    <x v="3"/>
  </r>
  <r>
    <s v="2024-01-27"/>
    <n v="1047"/>
    <x v="2"/>
    <x v="5"/>
    <x v="1"/>
    <n v="1"/>
    <n v="2000"/>
    <n v="2000"/>
    <x v="3"/>
  </r>
  <r>
    <s v="2024-04-06"/>
    <n v="1048"/>
    <x v="1"/>
    <x v="3"/>
    <x v="4"/>
    <n v="4"/>
    <n v="4000"/>
    <n v="16000"/>
    <x v="4"/>
  </r>
  <r>
    <s v="2024-02-07"/>
    <n v="1049"/>
    <x v="2"/>
    <x v="2"/>
    <x v="1"/>
    <n v="2"/>
    <n v="2000"/>
    <n v="4000"/>
    <x v="1"/>
  </r>
  <r>
    <s v="2024-05-31"/>
    <n v="1050"/>
    <x v="2"/>
    <x v="4"/>
    <x v="0"/>
    <n v="4"/>
    <n v="15000"/>
    <n v="60000"/>
    <x v="0"/>
  </r>
  <r>
    <s v="2024-05-11"/>
    <n v="1051"/>
    <x v="0"/>
    <x v="4"/>
    <x v="1"/>
    <n v="2"/>
    <n v="2000"/>
    <n v="4000"/>
    <x v="0"/>
  </r>
  <r>
    <s v="2024-05-01"/>
    <n v="1052"/>
    <x v="1"/>
    <x v="3"/>
    <x v="5"/>
    <n v="1"/>
    <n v="50000"/>
    <n v="50000"/>
    <x v="0"/>
  </r>
  <r>
    <s v="2024-06-29"/>
    <n v="1053"/>
    <x v="1"/>
    <x v="2"/>
    <x v="0"/>
    <n v="5"/>
    <n v="15000"/>
    <n v="75000"/>
    <x v="5"/>
  </r>
  <r>
    <s v="2024-04-22"/>
    <n v="1054"/>
    <x v="1"/>
    <x v="3"/>
    <x v="2"/>
    <n v="5"/>
    <n v="20000"/>
    <n v="100000"/>
    <x v="4"/>
  </r>
  <r>
    <s v="2024-04-04"/>
    <n v="1055"/>
    <x v="3"/>
    <x v="4"/>
    <x v="5"/>
    <n v="1"/>
    <n v="50000"/>
    <n v="50000"/>
    <x v="4"/>
  </r>
  <r>
    <s v="2024-05-16"/>
    <n v="1056"/>
    <x v="1"/>
    <x v="5"/>
    <x v="5"/>
    <n v="3"/>
    <n v="50000"/>
    <n v="150000"/>
    <x v="0"/>
  </r>
  <r>
    <s v="2024-03-05"/>
    <n v="1057"/>
    <x v="0"/>
    <x v="5"/>
    <x v="5"/>
    <n v="2"/>
    <n v="50000"/>
    <n v="100000"/>
    <x v="2"/>
  </r>
  <r>
    <s v="2024-04-01"/>
    <n v="1058"/>
    <x v="0"/>
    <x v="0"/>
    <x v="4"/>
    <n v="5"/>
    <n v="4000"/>
    <n v="20000"/>
    <x v="4"/>
  </r>
  <r>
    <s v="2024-02-14"/>
    <n v="1059"/>
    <x v="0"/>
    <x v="1"/>
    <x v="4"/>
    <n v="5"/>
    <n v="4000"/>
    <n v="20000"/>
    <x v="1"/>
  </r>
  <r>
    <s v="2024-05-27"/>
    <n v="1060"/>
    <x v="3"/>
    <x v="2"/>
    <x v="3"/>
    <n v="4"/>
    <n v="30000"/>
    <n v="120000"/>
    <x v="0"/>
  </r>
  <r>
    <s v="2024-02-25"/>
    <n v="1061"/>
    <x v="0"/>
    <x v="4"/>
    <x v="4"/>
    <n v="3"/>
    <n v="4000"/>
    <n v="12000"/>
    <x v="1"/>
  </r>
  <r>
    <s v="2024-05-10"/>
    <n v="1062"/>
    <x v="2"/>
    <x v="1"/>
    <x v="5"/>
    <n v="4"/>
    <n v="50000"/>
    <n v="200000"/>
    <x v="0"/>
  </r>
  <r>
    <s v="2024-02-14"/>
    <n v="1063"/>
    <x v="3"/>
    <x v="2"/>
    <x v="4"/>
    <n v="2"/>
    <n v="4000"/>
    <n v="8000"/>
    <x v="1"/>
  </r>
  <r>
    <s v="2024-03-07"/>
    <n v="1064"/>
    <x v="2"/>
    <x v="4"/>
    <x v="3"/>
    <n v="1"/>
    <n v="30000"/>
    <n v="30000"/>
    <x v="2"/>
  </r>
  <r>
    <s v="2024-06-01"/>
    <n v="1065"/>
    <x v="2"/>
    <x v="0"/>
    <x v="3"/>
    <n v="3"/>
    <n v="30000"/>
    <n v="90000"/>
    <x v="5"/>
  </r>
  <r>
    <s v="2024-03-16"/>
    <n v="1066"/>
    <x v="1"/>
    <x v="4"/>
    <x v="5"/>
    <n v="3"/>
    <n v="50000"/>
    <n v="150000"/>
    <x v="2"/>
  </r>
  <r>
    <s v="2024-05-09"/>
    <n v="1067"/>
    <x v="0"/>
    <x v="3"/>
    <x v="1"/>
    <n v="1"/>
    <n v="2000"/>
    <n v="2000"/>
    <x v="0"/>
  </r>
  <r>
    <s v="2024-03-07"/>
    <n v="1068"/>
    <x v="1"/>
    <x v="4"/>
    <x v="2"/>
    <n v="4"/>
    <n v="20000"/>
    <n v="80000"/>
    <x v="2"/>
  </r>
  <r>
    <s v="2024-04-28"/>
    <n v="1069"/>
    <x v="3"/>
    <x v="4"/>
    <x v="4"/>
    <n v="3"/>
    <n v="4000"/>
    <n v="12000"/>
    <x v="4"/>
  </r>
  <r>
    <s v="2024-01-11"/>
    <n v="1070"/>
    <x v="2"/>
    <x v="5"/>
    <x v="1"/>
    <n v="4"/>
    <n v="2000"/>
    <n v="8000"/>
    <x v="3"/>
  </r>
  <r>
    <s v="2024-05-29"/>
    <n v="1071"/>
    <x v="1"/>
    <x v="0"/>
    <x v="0"/>
    <n v="1"/>
    <n v="15000"/>
    <n v="15000"/>
    <x v="0"/>
  </r>
  <r>
    <s v="2024-03-07"/>
    <n v="1072"/>
    <x v="3"/>
    <x v="5"/>
    <x v="5"/>
    <n v="2"/>
    <n v="50000"/>
    <n v="100000"/>
    <x v="2"/>
  </r>
  <r>
    <s v="2024-02-01"/>
    <n v="1073"/>
    <x v="0"/>
    <x v="1"/>
    <x v="1"/>
    <n v="3"/>
    <n v="2000"/>
    <n v="6000"/>
    <x v="1"/>
  </r>
  <r>
    <s v="2024-04-17"/>
    <n v="1074"/>
    <x v="1"/>
    <x v="2"/>
    <x v="4"/>
    <n v="4"/>
    <n v="4000"/>
    <n v="16000"/>
    <x v="4"/>
  </r>
  <r>
    <s v="2024-04-15"/>
    <n v="1075"/>
    <x v="1"/>
    <x v="1"/>
    <x v="0"/>
    <n v="4"/>
    <n v="15000"/>
    <n v="60000"/>
    <x v="4"/>
  </r>
  <r>
    <s v="2024-06-06"/>
    <n v="1076"/>
    <x v="1"/>
    <x v="0"/>
    <x v="3"/>
    <n v="2"/>
    <n v="30000"/>
    <n v="60000"/>
    <x v="5"/>
  </r>
  <r>
    <s v="2024-06-29"/>
    <n v="1077"/>
    <x v="2"/>
    <x v="4"/>
    <x v="5"/>
    <n v="2"/>
    <n v="50000"/>
    <n v="100000"/>
    <x v="5"/>
  </r>
  <r>
    <s v="2024-01-24"/>
    <n v="1078"/>
    <x v="0"/>
    <x v="3"/>
    <x v="1"/>
    <n v="1"/>
    <n v="2000"/>
    <n v="2000"/>
    <x v="3"/>
  </r>
  <r>
    <s v="2024-03-27"/>
    <n v="1079"/>
    <x v="1"/>
    <x v="3"/>
    <x v="2"/>
    <n v="1"/>
    <n v="20000"/>
    <n v="20000"/>
    <x v="2"/>
  </r>
  <r>
    <s v="2024-04-18"/>
    <n v="1080"/>
    <x v="1"/>
    <x v="4"/>
    <x v="3"/>
    <n v="4"/>
    <n v="30000"/>
    <n v="120000"/>
    <x v="4"/>
  </r>
  <r>
    <s v="2024-03-26"/>
    <n v="1081"/>
    <x v="1"/>
    <x v="3"/>
    <x v="4"/>
    <n v="2"/>
    <n v="4000"/>
    <n v="8000"/>
    <x v="2"/>
  </r>
  <r>
    <s v="2024-02-04"/>
    <n v="1082"/>
    <x v="3"/>
    <x v="2"/>
    <x v="1"/>
    <n v="4"/>
    <n v="2000"/>
    <n v="8000"/>
    <x v="1"/>
  </r>
  <r>
    <s v="2024-02-22"/>
    <n v="1083"/>
    <x v="1"/>
    <x v="2"/>
    <x v="2"/>
    <n v="4"/>
    <n v="20000"/>
    <n v="80000"/>
    <x v="1"/>
  </r>
  <r>
    <s v="2024-05-24"/>
    <n v="1084"/>
    <x v="1"/>
    <x v="0"/>
    <x v="0"/>
    <n v="3"/>
    <n v="15000"/>
    <n v="45000"/>
    <x v="0"/>
  </r>
  <r>
    <s v="2024-05-27"/>
    <n v="1085"/>
    <x v="0"/>
    <x v="1"/>
    <x v="2"/>
    <n v="1"/>
    <n v="20000"/>
    <n v="20000"/>
    <x v="0"/>
  </r>
  <r>
    <s v="2024-04-10"/>
    <n v="1086"/>
    <x v="0"/>
    <x v="5"/>
    <x v="5"/>
    <n v="1"/>
    <n v="50000"/>
    <n v="50000"/>
    <x v="4"/>
  </r>
  <r>
    <s v="2024-04-08"/>
    <n v="1087"/>
    <x v="1"/>
    <x v="0"/>
    <x v="5"/>
    <n v="2"/>
    <n v="50000"/>
    <n v="100000"/>
    <x v="4"/>
  </r>
  <r>
    <s v="2024-05-13"/>
    <n v="1088"/>
    <x v="1"/>
    <x v="1"/>
    <x v="3"/>
    <n v="2"/>
    <n v="30000"/>
    <n v="60000"/>
    <x v="0"/>
  </r>
  <r>
    <s v="2024-06-14"/>
    <n v="1089"/>
    <x v="1"/>
    <x v="4"/>
    <x v="1"/>
    <n v="1"/>
    <n v="2000"/>
    <n v="2000"/>
    <x v="5"/>
  </r>
  <r>
    <s v="2024-02-15"/>
    <n v="1090"/>
    <x v="3"/>
    <x v="3"/>
    <x v="1"/>
    <n v="2"/>
    <n v="2000"/>
    <n v="4000"/>
    <x v="1"/>
  </r>
  <r>
    <s v="2024-02-21"/>
    <n v="1091"/>
    <x v="2"/>
    <x v="0"/>
    <x v="0"/>
    <n v="3"/>
    <n v="15000"/>
    <n v="45000"/>
    <x v="1"/>
  </r>
  <r>
    <s v="2024-02-04"/>
    <n v="1092"/>
    <x v="1"/>
    <x v="0"/>
    <x v="5"/>
    <n v="5"/>
    <n v="50000"/>
    <n v="250000"/>
    <x v="1"/>
  </r>
  <r>
    <s v="2024-01-29"/>
    <n v="1093"/>
    <x v="2"/>
    <x v="0"/>
    <x v="5"/>
    <n v="5"/>
    <n v="50000"/>
    <n v="250000"/>
    <x v="3"/>
  </r>
  <r>
    <s v="2024-05-26"/>
    <n v="1094"/>
    <x v="2"/>
    <x v="3"/>
    <x v="4"/>
    <n v="2"/>
    <n v="4000"/>
    <n v="8000"/>
    <x v="0"/>
  </r>
  <r>
    <s v="2024-04-21"/>
    <n v="1095"/>
    <x v="3"/>
    <x v="2"/>
    <x v="2"/>
    <n v="4"/>
    <n v="20000"/>
    <n v="80000"/>
    <x v="4"/>
  </r>
  <r>
    <s v="2024-02-05"/>
    <n v="1096"/>
    <x v="3"/>
    <x v="3"/>
    <x v="4"/>
    <n v="1"/>
    <n v="4000"/>
    <n v="4000"/>
    <x v="1"/>
  </r>
  <r>
    <s v="2024-03-07"/>
    <n v="1097"/>
    <x v="3"/>
    <x v="4"/>
    <x v="1"/>
    <n v="4"/>
    <n v="2000"/>
    <n v="8000"/>
    <x v="2"/>
  </r>
  <r>
    <s v="2024-05-05"/>
    <n v="1098"/>
    <x v="2"/>
    <x v="3"/>
    <x v="5"/>
    <n v="4"/>
    <n v="50000"/>
    <n v="200000"/>
    <x v="0"/>
  </r>
  <r>
    <s v="2024-05-15"/>
    <n v="1099"/>
    <x v="1"/>
    <x v="1"/>
    <x v="0"/>
    <n v="4"/>
    <n v="15000"/>
    <n v="60000"/>
    <x v="0"/>
  </r>
  <r>
    <s v="2024-05-20"/>
    <n v="1100"/>
    <x v="1"/>
    <x v="2"/>
    <x v="1"/>
    <n v="4"/>
    <n v="2000"/>
    <n v="8000"/>
    <x v="0"/>
  </r>
  <r>
    <s v="2024-05-06"/>
    <n v="1101"/>
    <x v="0"/>
    <x v="5"/>
    <x v="1"/>
    <n v="3"/>
    <n v="2000"/>
    <n v="6000"/>
    <x v="0"/>
  </r>
  <r>
    <s v="2024-05-24"/>
    <n v="1102"/>
    <x v="0"/>
    <x v="5"/>
    <x v="3"/>
    <n v="2"/>
    <n v="30000"/>
    <n v="60000"/>
    <x v="0"/>
  </r>
  <r>
    <s v="2024-02-05"/>
    <n v="1103"/>
    <x v="1"/>
    <x v="2"/>
    <x v="3"/>
    <n v="5"/>
    <n v="30000"/>
    <n v="150000"/>
    <x v="1"/>
  </r>
  <r>
    <s v="2024-02-13"/>
    <n v="1104"/>
    <x v="2"/>
    <x v="3"/>
    <x v="1"/>
    <n v="3"/>
    <n v="2000"/>
    <n v="6000"/>
    <x v="1"/>
  </r>
  <r>
    <s v="2024-05-04"/>
    <n v="1105"/>
    <x v="1"/>
    <x v="4"/>
    <x v="4"/>
    <n v="5"/>
    <n v="4000"/>
    <n v="20000"/>
    <x v="0"/>
  </r>
  <r>
    <s v="2024-05-19"/>
    <n v="1106"/>
    <x v="2"/>
    <x v="4"/>
    <x v="3"/>
    <n v="5"/>
    <n v="30000"/>
    <n v="150000"/>
    <x v="0"/>
  </r>
  <r>
    <s v="2024-02-02"/>
    <n v="1107"/>
    <x v="3"/>
    <x v="5"/>
    <x v="5"/>
    <n v="2"/>
    <n v="50000"/>
    <n v="100000"/>
    <x v="1"/>
  </r>
  <r>
    <s v="2024-03-13"/>
    <n v="1108"/>
    <x v="3"/>
    <x v="5"/>
    <x v="3"/>
    <n v="5"/>
    <n v="30000"/>
    <n v="150000"/>
    <x v="2"/>
  </r>
  <r>
    <s v="2024-06-04"/>
    <n v="1109"/>
    <x v="0"/>
    <x v="3"/>
    <x v="0"/>
    <n v="5"/>
    <n v="15000"/>
    <n v="75000"/>
    <x v="5"/>
  </r>
  <r>
    <s v="2024-04-26"/>
    <n v="1110"/>
    <x v="2"/>
    <x v="5"/>
    <x v="0"/>
    <n v="1"/>
    <n v="15000"/>
    <n v="15000"/>
    <x v="4"/>
  </r>
  <r>
    <s v="2024-04-10"/>
    <n v="1111"/>
    <x v="1"/>
    <x v="2"/>
    <x v="1"/>
    <n v="2"/>
    <n v="2000"/>
    <n v="4000"/>
    <x v="4"/>
  </r>
  <r>
    <s v="2024-06-26"/>
    <n v="1112"/>
    <x v="0"/>
    <x v="3"/>
    <x v="5"/>
    <n v="1"/>
    <n v="50000"/>
    <n v="50000"/>
    <x v="5"/>
  </r>
  <r>
    <s v="2024-03-09"/>
    <n v="1113"/>
    <x v="2"/>
    <x v="1"/>
    <x v="3"/>
    <n v="1"/>
    <n v="30000"/>
    <n v="30000"/>
    <x v="2"/>
  </r>
  <r>
    <s v="2024-03-17"/>
    <n v="1114"/>
    <x v="2"/>
    <x v="4"/>
    <x v="4"/>
    <n v="4"/>
    <n v="4000"/>
    <n v="16000"/>
    <x v="2"/>
  </r>
  <r>
    <s v="2024-01-02"/>
    <n v="1115"/>
    <x v="1"/>
    <x v="1"/>
    <x v="4"/>
    <n v="5"/>
    <n v="4000"/>
    <n v="20000"/>
    <x v="3"/>
  </r>
  <r>
    <s v="2024-03-17"/>
    <n v="1116"/>
    <x v="0"/>
    <x v="0"/>
    <x v="5"/>
    <n v="3"/>
    <n v="50000"/>
    <n v="150000"/>
    <x v="2"/>
  </r>
  <r>
    <s v="2024-01-30"/>
    <n v="1117"/>
    <x v="3"/>
    <x v="4"/>
    <x v="3"/>
    <n v="2"/>
    <n v="30000"/>
    <n v="60000"/>
    <x v="3"/>
  </r>
  <r>
    <s v="2024-02-24"/>
    <n v="1118"/>
    <x v="3"/>
    <x v="1"/>
    <x v="1"/>
    <n v="5"/>
    <n v="2000"/>
    <n v="10000"/>
    <x v="1"/>
  </r>
  <r>
    <s v="2024-01-11"/>
    <n v="1119"/>
    <x v="3"/>
    <x v="0"/>
    <x v="1"/>
    <n v="5"/>
    <n v="2000"/>
    <n v="10000"/>
    <x v="3"/>
  </r>
  <r>
    <s v="2024-02-22"/>
    <n v="1120"/>
    <x v="1"/>
    <x v="5"/>
    <x v="5"/>
    <n v="2"/>
    <n v="50000"/>
    <n v="100000"/>
    <x v="1"/>
  </r>
  <r>
    <s v="2024-04-09"/>
    <n v="1121"/>
    <x v="3"/>
    <x v="4"/>
    <x v="2"/>
    <n v="4"/>
    <n v="20000"/>
    <n v="80000"/>
    <x v="4"/>
  </r>
  <r>
    <s v="2024-04-18"/>
    <n v="1122"/>
    <x v="2"/>
    <x v="1"/>
    <x v="5"/>
    <n v="4"/>
    <n v="50000"/>
    <n v="200000"/>
    <x v="4"/>
  </r>
  <r>
    <s v="2024-02-12"/>
    <n v="1123"/>
    <x v="3"/>
    <x v="3"/>
    <x v="5"/>
    <n v="2"/>
    <n v="50000"/>
    <n v="100000"/>
    <x v="1"/>
  </r>
  <r>
    <s v="2024-06-09"/>
    <n v="1124"/>
    <x v="1"/>
    <x v="3"/>
    <x v="1"/>
    <n v="3"/>
    <n v="2000"/>
    <n v="6000"/>
    <x v="5"/>
  </r>
  <r>
    <s v="2024-01-21"/>
    <n v="1125"/>
    <x v="3"/>
    <x v="1"/>
    <x v="2"/>
    <n v="4"/>
    <n v="20000"/>
    <n v="80000"/>
    <x v="3"/>
  </r>
  <r>
    <s v="2024-02-07"/>
    <n v="1126"/>
    <x v="2"/>
    <x v="5"/>
    <x v="2"/>
    <n v="5"/>
    <n v="20000"/>
    <n v="100000"/>
    <x v="1"/>
  </r>
  <r>
    <s v="2024-04-17"/>
    <n v="1127"/>
    <x v="3"/>
    <x v="3"/>
    <x v="0"/>
    <n v="2"/>
    <n v="15000"/>
    <n v="30000"/>
    <x v="4"/>
  </r>
  <r>
    <s v="2024-02-29"/>
    <n v="1128"/>
    <x v="0"/>
    <x v="5"/>
    <x v="5"/>
    <n v="1"/>
    <n v="50000"/>
    <n v="50000"/>
    <x v="1"/>
  </r>
  <r>
    <s v="2024-06-14"/>
    <n v="1129"/>
    <x v="3"/>
    <x v="5"/>
    <x v="0"/>
    <n v="4"/>
    <n v="15000"/>
    <n v="60000"/>
    <x v="5"/>
  </r>
  <r>
    <s v="2024-01-18"/>
    <n v="1130"/>
    <x v="2"/>
    <x v="0"/>
    <x v="1"/>
    <n v="1"/>
    <n v="2000"/>
    <n v="2000"/>
    <x v="3"/>
  </r>
  <r>
    <s v="2024-02-05"/>
    <n v="1131"/>
    <x v="2"/>
    <x v="4"/>
    <x v="3"/>
    <n v="4"/>
    <n v="30000"/>
    <n v="120000"/>
    <x v="1"/>
  </r>
  <r>
    <s v="2024-02-04"/>
    <n v="1132"/>
    <x v="2"/>
    <x v="1"/>
    <x v="0"/>
    <n v="2"/>
    <n v="15000"/>
    <n v="30000"/>
    <x v="1"/>
  </r>
  <r>
    <s v="2024-01-17"/>
    <n v="1133"/>
    <x v="3"/>
    <x v="5"/>
    <x v="0"/>
    <n v="2"/>
    <n v="15000"/>
    <n v="30000"/>
    <x v="3"/>
  </r>
  <r>
    <s v="2024-02-05"/>
    <n v="1134"/>
    <x v="2"/>
    <x v="2"/>
    <x v="1"/>
    <n v="5"/>
    <n v="2000"/>
    <n v="10000"/>
    <x v="1"/>
  </r>
  <r>
    <s v="2024-02-24"/>
    <n v="1135"/>
    <x v="1"/>
    <x v="5"/>
    <x v="5"/>
    <n v="4"/>
    <n v="50000"/>
    <n v="200000"/>
    <x v="1"/>
  </r>
  <r>
    <s v="2024-02-06"/>
    <n v="1136"/>
    <x v="2"/>
    <x v="5"/>
    <x v="0"/>
    <n v="3"/>
    <n v="15000"/>
    <n v="45000"/>
    <x v="1"/>
  </r>
  <r>
    <s v="2024-06-21"/>
    <n v="1137"/>
    <x v="1"/>
    <x v="3"/>
    <x v="1"/>
    <n v="1"/>
    <n v="2000"/>
    <n v="2000"/>
    <x v="5"/>
  </r>
  <r>
    <s v="2024-03-29"/>
    <n v="1138"/>
    <x v="2"/>
    <x v="3"/>
    <x v="2"/>
    <n v="5"/>
    <n v="20000"/>
    <n v="100000"/>
    <x v="2"/>
  </r>
  <r>
    <s v="2024-04-20"/>
    <n v="1139"/>
    <x v="2"/>
    <x v="3"/>
    <x v="5"/>
    <n v="2"/>
    <n v="50000"/>
    <n v="100000"/>
    <x v="4"/>
  </r>
  <r>
    <s v="2024-06-27"/>
    <n v="1140"/>
    <x v="2"/>
    <x v="1"/>
    <x v="4"/>
    <n v="2"/>
    <n v="4000"/>
    <n v="8000"/>
    <x v="5"/>
  </r>
  <r>
    <s v="2024-01-01"/>
    <n v="1141"/>
    <x v="1"/>
    <x v="3"/>
    <x v="2"/>
    <n v="4"/>
    <n v="20000"/>
    <n v="80000"/>
    <x v="3"/>
  </r>
  <r>
    <s v="2024-04-21"/>
    <n v="1142"/>
    <x v="0"/>
    <x v="1"/>
    <x v="5"/>
    <n v="1"/>
    <n v="50000"/>
    <n v="50000"/>
    <x v="4"/>
  </r>
  <r>
    <s v="2024-01-09"/>
    <n v="1143"/>
    <x v="1"/>
    <x v="3"/>
    <x v="3"/>
    <n v="3"/>
    <n v="30000"/>
    <n v="90000"/>
    <x v="3"/>
  </r>
  <r>
    <s v="2024-02-21"/>
    <n v="1144"/>
    <x v="3"/>
    <x v="4"/>
    <x v="3"/>
    <n v="4"/>
    <n v="30000"/>
    <n v="120000"/>
    <x v="1"/>
  </r>
  <r>
    <s v="2024-03-30"/>
    <n v="1145"/>
    <x v="0"/>
    <x v="4"/>
    <x v="0"/>
    <n v="2"/>
    <n v="15000"/>
    <n v="30000"/>
    <x v="2"/>
  </r>
  <r>
    <s v="2024-03-06"/>
    <n v="1146"/>
    <x v="3"/>
    <x v="4"/>
    <x v="1"/>
    <n v="5"/>
    <n v="2000"/>
    <n v="10000"/>
    <x v="2"/>
  </r>
  <r>
    <s v="2024-01-03"/>
    <n v="1147"/>
    <x v="3"/>
    <x v="1"/>
    <x v="4"/>
    <n v="4"/>
    <n v="4000"/>
    <n v="16000"/>
    <x v="3"/>
  </r>
  <r>
    <s v="2024-06-24"/>
    <n v="1148"/>
    <x v="2"/>
    <x v="0"/>
    <x v="1"/>
    <n v="1"/>
    <n v="2000"/>
    <n v="2000"/>
    <x v="5"/>
  </r>
  <r>
    <s v="2024-04-08"/>
    <n v="1149"/>
    <x v="3"/>
    <x v="4"/>
    <x v="1"/>
    <n v="4"/>
    <n v="2000"/>
    <n v="8000"/>
    <x v="4"/>
  </r>
  <r>
    <s v="2024-01-31"/>
    <n v="1150"/>
    <x v="1"/>
    <x v="4"/>
    <x v="3"/>
    <n v="3"/>
    <n v="30000"/>
    <n v="90000"/>
    <x v="3"/>
  </r>
  <r>
    <s v="2024-04-06"/>
    <n v="1151"/>
    <x v="2"/>
    <x v="0"/>
    <x v="1"/>
    <n v="4"/>
    <n v="2000"/>
    <n v="8000"/>
    <x v="4"/>
  </r>
  <r>
    <s v="2024-03-20"/>
    <n v="1152"/>
    <x v="1"/>
    <x v="0"/>
    <x v="0"/>
    <n v="4"/>
    <n v="15000"/>
    <n v="60000"/>
    <x v="2"/>
  </r>
  <r>
    <s v="2024-01-06"/>
    <n v="1153"/>
    <x v="3"/>
    <x v="3"/>
    <x v="4"/>
    <n v="4"/>
    <n v="4000"/>
    <n v="16000"/>
    <x v="3"/>
  </r>
  <r>
    <s v="2024-03-09"/>
    <n v="1154"/>
    <x v="1"/>
    <x v="5"/>
    <x v="4"/>
    <n v="1"/>
    <n v="4000"/>
    <n v="4000"/>
    <x v="2"/>
  </r>
  <r>
    <s v="2024-01-26"/>
    <n v="1155"/>
    <x v="0"/>
    <x v="5"/>
    <x v="2"/>
    <n v="3"/>
    <n v="20000"/>
    <n v="60000"/>
    <x v="3"/>
  </r>
  <r>
    <s v="2024-04-12"/>
    <n v="1156"/>
    <x v="1"/>
    <x v="1"/>
    <x v="1"/>
    <n v="5"/>
    <n v="2000"/>
    <n v="10000"/>
    <x v="4"/>
  </r>
  <r>
    <s v="2024-05-20"/>
    <n v="1157"/>
    <x v="0"/>
    <x v="3"/>
    <x v="5"/>
    <n v="2"/>
    <n v="50000"/>
    <n v="100000"/>
    <x v="0"/>
  </r>
  <r>
    <s v="2024-04-22"/>
    <n v="1158"/>
    <x v="1"/>
    <x v="0"/>
    <x v="0"/>
    <n v="4"/>
    <n v="15000"/>
    <n v="60000"/>
    <x v="4"/>
  </r>
  <r>
    <s v="2024-05-03"/>
    <n v="1159"/>
    <x v="0"/>
    <x v="3"/>
    <x v="3"/>
    <n v="4"/>
    <n v="30000"/>
    <n v="120000"/>
    <x v="0"/>
  </r>
  <r>
    <s v="2024-05-08"/>
    <n v="1160"/>
    <x v="3"/>
    <x v="0"/>
    <x v="3"/>
    <n v="1"/>
    <n v="30000"/>
    <n v="30000"/>
    <x v="0"/>
  </r>
  <r>
    <s v="2024-03-01"/>
    <n v="1161"/>
    <x v="1"/>
    <x v="2"/>
    <x v="4"/>
    <n v="4"/>
    <n v="4000"/>
    <n v="16000"/>
    <x v="2"/>
  </r>
  <r>
    <s v="2024-06-26"/>
    <n v="1162"/>
    <x v="3"/>
    <x v="5"/>
    <x v="4"/>
    <n v="3"/>
    <n v="4000"/>
    <n v="12000"/>
    <x v="5"/>
  </r>
  <r>
    <s v="2024-03-22"/>
    <n v="1163"/>
    <x v="0"/>
    <x v="5"/>
    <x v="2"/>
    <n v="1"/>
    <n v="20000"/>
    <n v="20000"/>
    <x v="2"/>
  </r>
  <r>
    <s v="2024-04-28"/>
    <n v="1164"/>
    <x v="3"/>
    <x v="2"/>
    <x v="4"/>
    <n v="2"/>
    <n v="4000"/>
    <n v="8000"/>
    <x v="4"/>
  </r>
  <r>
    <s v="2024-06-13"/>
    <n v="1165"/>
    <x v="1"/>
    <x v="0"/>
    <x v="4"/>
    <n v="5"/>
    <n v="4000"/>
    <n v="20000"/>
    <x v="5"/>
  </r>
  <r>
    <s v="2024-04-30"/>
    <n v="1166"/>
    <x v="0"/>
    <x v="5"/>
    <x v="1"/>
    <n v="4"/>
    <n v="2000"/>
    <n v="8000"/>
    <x v="4"/>
  </r>
  <r>
    <s v="2024-04-21"/>
    <n v="1167"/>
    <x v="3"/>
    <x v="5"/>
    <x v="1"/>
    <n v="2"/>
    <n v="2000"/>
    <n v="4000"/>
    <x v="4"/>
  </r>
  <r>
    <s v="2024-06-15"/>
    <n v="1168"/>
    <x v="0"/>
    <x v="1"/>
    <x v="5"/>
    <n v="1"/>
    <n v="50000"/>
    <n v="50000"/>
    <x v="5"/>
  </r>
  <r>
    <s v="2024-05-06"/>
    <n v="1169"/>
    <x v="0"/>
    <x v="5"/>
    <x v="0"/>
    <n v="3"/>
    <n v="15000"/>
    <n v="45000"/>
    <x v="0"/>
  </r>
  <r>
    <s v="2024-04-25"/>
    <n v="1170"/>
    <x v="2"/>
    <x v="5"/>
    <x v="5"/>
    <n v="1"/>
    <n v="50000"/>
    <n v="50000"/>
    <x v="4"/>
  </r>
  <r>
    <s v="2024-03-30"/>
    <n v="1171"/>
    <x v="2"/>
    <x v="4"/>
    <x v="5"/>
    <n v="2"/>
    <n v="50000"/>
    <n v="100000"/>
    <x v="2"/>
  </r>
  <r>
    <s v="2024-06-15"/>
    <n v="1172"/>
    <x v="1"/>
    <x v="2"/>
    <x v="5"/>
    <n v="1"/>
    <n v="50000"/>
    <n v="50000"/>
    <x v="5"/>
  </r>
  <r>
    <s v="2024-03-07"/>
    <n v="1173"/>
    <x v="0"/>
    <x v="5"/>
    <x v="0"/>
    <n v="4"/>
    <n v="15000"/>
    <n v="60000"/>
    <x v="2"/>
  </r>
  <r>
    <s v="2024-04-24"/>
    <n v="1174"/>
    <x v="3"/>
    <x v="4"/>
    <x v="4"/>
    <n v="2"/>
    <n v="4000"/>
    <n v="8000"/>
    <x v="4"/>
  </r>
  <r>
    <s v="2024-02-02"/>
    <n v="1175"/>
    <x v="1"/>
    <x v="4"/>
    <x v="3"/>
    <n v="5"/>
    <n v="30000"/>
    <n v="150000"/>
    <x v="1"/>
  </r>
  <r>
    <s v="2024-02-25"/>
    <n v="1176"/>
    <x v="3"/>
    <x v="1"/>
    <x v="4"/>
    <n v="1"/>
    <n v="4000"/>
    <n v="4000"/>
    <x v="1"/>
  </r>
  <r>
    <s v="2024-04-22"/>
    <n v="1177"/>
    <x v="2"/>
    <x v="4"/>
    <x v="3"/>
    <n v="2"/>
    <n v="30000"/>
    <n v="60000"/>
    <x v="4"/>
  </r>
  <r>
    <s v="2024-01-24"/>
    <n v="1178"/>
    <x v="0"/>
    <x v="2"/>
    <x v="4"/>
    <n v="1"/>
    <n v="4000"/>
    <n v="4000"/>
    <x v="3"/>
  </r>
  <r>
    <s v="2024-02-05"/>
    <n v="1179"/>
    <x v="1"/>
    <x v="2"/>
    <x v="0"/>
    <n v="1"/>
    <n v="15000"/>
    <n v="15000"/>
    <x v="1"/>
  </r>
  <r>
    <s v="2024-02-05"/>
    <n v="1180"/>
    <x v="1"/>
    <x v="4"/>
    <x v="0"/>
    <n v="2"/>
    <n v="15000"/>
    <n v="30000"/>
    <x v="1"/>
  </r>
  <r>
    <s v="2024-02-01"/>
    <n v="1181"/>
    <x v="2"/>
    <x v="3"/>
    <x v="5"/>
    <n v="4"/>
    <n v="50000"/>
    <n v="200000"/>
    <x v="1"/>
  </r>
  <r>
    <s v="2024-05-01"/>
    <n v="1182"/>
    <x v="1"/>
    <x v="1"/>
    <x v="5"/>
    <n v="2"/>
    <n v="50000"/>
    <n v="100000"/>
    <x v="0"/>
  </r>
  <r>
    <s v="2024-04-02"/>
    <n v="1183"/>
    <x v="2"/>
    <x v="2"/>
    <x v="0"/>
    <n v="4"/>
    <n v="15000"/>
    <n v="60000"/>
    <x v="4"/>
  </r>
  <r>
    <s v="2024-04-17"/>
    <n v="1184"/>
    <x v="0"/>
    <x v="2"/>
    <x v="5"/>
    <n v="4"/>
    <n v="50000"/>
    <n v="200000"/>
    <x v="4"/>
  </r>
  <r>
    <s v="2024-03-13"/>
    <n v="1185"/>
    <x v="1"/>
    <x v="4"/>
    <x v="2"/>
    <n v="2"/>
    <n v="20000"/>
    <n v="40000"/>
    <x v="2"/>
  </r>
  <r>
    <s v="2024-01-05"/>
    <n v="1186"/>
    <x v="2"/>
    <x v="1"/>
    <x v="2"/>
    <n v="5"/>
    <n v="20000"/>
    <n v="100000"/>
    <x v="3"/>
  </r>
  <r>
    <s v="2024-04-23"/>
    <n v="1187"/>
    <x v="0"/>
    <x v="4"/>
    <x v="3"/>
    <n v="2"/>
    <n v="30000"/>
    <n v="60000"/>
    <x v="4"/>
  </r>
  <r>
    <s v="2024-03-01"/>
    <n v="1188"/>
    <x v="1"/>
    <x v="2"/>
    <x v="3"/>
    <n v="1"/>
    <n v="30000"/>
    <n v="30000"/>
    <x v="2"/>
  </r>
  <r>
    <s v="2024-02-05"/>
    <n v="1189"/>
    <x v="0"/>
    <x v="1"/>
    <x v="4"/>
    <n v="5"/>
    <n v="4000"/>
    <n v="20000"/>
    <x v="1"/>
  </r>
  <r>
    <s v="2024-06-06"/>
    <n v="1190"/>
    <x v="2"/>
    <x v="3"/>
    <x v="4"/>
    <n v="3"/>
    <n v="4000"/>
    <n v="12000"/>
    <x v="5"/>
  </r>
  <r>
    <s v="2024-05-23"/>
    <n v="1191"/>
    <x v="1"/>
    <x v="2"/>
    <x v="3"/>
    <n v="3"/>
    <n v="30000"/>
    <n v="90000"/>
    <x v="0"/>
  </r>
  <r>
    <s v="2024-05-17"/>
    <n v="1192"/>
    <x v="3"/>
    <x v="2"/>
    <x v="2"/>
    <n v="1"/>
    <n v="20000"/>
    <n v="20000"/>
    <x v="0"/>
  </r>
  <r>
    <s v="2024-04-09"/>
    <n v="1193"/>
    <x v="0"/>
    <x v="4"/>
    <x v="0"/>
    <n v="5"/>
    <n v="15000"/>
    <n v="75000"/>
    <x v="4"/>
  </r>
  <r>
    <s v="2024-04-29"/>
    <n v="1194"/>
    <x v="3"/>
    <x v="0"/>
    <x v="2"/>
    <n v="3"/>
    <n v="20000"/>
    <n v="60000"/>
    <x v="4"/>
  </r>
  <r>
    <s v="2024-03-13"/>
    <n v="1195"/>
    <x v="1"/>
    <x v="1"/>
    <x v="0"/>
    <n v="1"/>
    <n v="15000"/>
    <n v="15000"/>
    <x v="2"/>
  </r>
  <r>
    <s v="2024-04-29"/>
    <n v="1196"/>
    <x v="2"/>
    <x v="3"/>
    <x v="0"/>
    <n v="2"/>
    <n v="15000"/>
    <n v="30000"/>
    <x v="4"/>
  </r>
  <r>
    <s v="2024-04-25"/>
    <n v="1197"/>
    <x v="1"/>
    <x v="0"/>
    <x v="3"/>
    <n v="5"/>
    <n v="30000"/>
    <n v="150000"/>
    <x v="4"/>
  </r>
  <r>
    <s v="2024-03-15"/>
    <n v="1198"/>
    <x v="2"/>
    <x v="4"/>
    <x v="3"/>
    <n v="4"/>
    <n v="30000"/>
    <n v="120000"/>
    <x v="2"/>
  </r>
  <r>
    <s v="2024-04-10"/>
    <n v="1199"/>
    <x v="1"/>
    <x v="0"/>
    <x v="1"/>
    <n v="2"/>
    <n v="2000"/>
    <n v="4000"/>
    <x v="4"/>
  </r>
  <r>
    <s v="2024-05-28"/>
    <n v="1200"/>
    <x v="1"/>
    <x v="0"/>
    <x v="2"/>
    <n v="1"/>
    <n v="20000"/>
    <n v="20000"/>
    <x v="0"/>
  </r>
  <r>
    <s v="2024-03-08"/>
    <n v="1201"/>
    <x v="1"/>
    <x v="3"/>
    <x v="2"/>
    <n v="1"/>
    <n v="20000"/>
    <n v="20000"/>
    <x v="2"/>
  </r>
  <r>
    <s v="2024-01-09"/>
    <n v="1202"/>
    <x v="1"/>
    <x v="1"/>
    <x v="5"/>
    <n v="3"/>
    <n v="50000"/>
    <n v="150000"/>
    <x v="3"/>
  </r>
  <r>
    <s v="2024-02-29"/>
    <n v="1203"/>
    <x v="2"/>
    <x v="1"/>
    <x v="4"/>
    <n v="1"/>
    <n v="4000"/>
    <n v="4000"/>
    <x v="1"/>
  </r>
  <r>
    <s v="2024-06-01"/>
    <n v="1204"/>
    <x v="0"/>
    <x v="3"/>
    <x v="1"/>
    <n v="1"/>
    <n v="2000"/>
    <n v="2000"/>
    <x v="5"/>
  </r>
  <r>
    <s v="2024-05-21"/>
    <n v="1205"/>
    <x v="1"/>
    <x v="5"/>
    <x v="0"/>
    <n v="2"/>
    <n v="15000"/>
    <n v="30000"/>
    <x v="0"/>
  </r>
  <r>
    <s v="2024-06-04"/>
    <n v="1206"/>
    <x v="3"/>
    <x v="5"/>
    <x v="5"/>
    <n v="2"/>
    <n v="50000"/>
    <n v="100000"/>
    <x v="5"/>
  </r>
  <r>
    <s v="2024-02-08"/>
    <n v="1207"/>
    <x v="0"/>
    <x v="4"/>
    <x v="4"/>
    <n v="2"/>
    <n v="4000"/>
    <n v="8000"/>
    <x v="1"/>
  </r>
  <r>
    <s v="2024-05-17"/>
    <n v="1208"/>
    <x v="3"/>
    <x v="0"/>
    <x v="3"/>
    <n v="5"/>
    <n v="30000"/>
    <n v="150000"/>
    <x v="0"/>
  </r>
  <r>
    <s v="2024-03-25"/>
    <n v="1209"/>
    <x v="2"/>
    <x v="4"/>
    <x v="4"/>
    <n v="3"/>
    <n v="4000"/>
    <n v="12000"/>
    <x v="2"/>
  </r>
  <r>
    <s v="2024-05-24"/>
    <n v="1210"/>
    <x v="2"/>
    <x v="1"/>
    <x v="2"/>
    <n v="2"/>
    <n v="20000"/>
    <n v="40000"/>
    <x v="0"/>
  </r>
  <r>
    <s v="2024-03-10"/>
    <n v="1211"/>
    <x v="1"/>
    <x v="1"/>
    <x v="5"/>
    <n v="5"/>
    <n v="50000"/>
    <n v="250000"/>
    <x v="2"/>
  </r>
  <r>
    <s v="2024-06-16"/>
    <n v="1212"/>
    <x v="2"/>
    <x v="2"/>
    <x v="1"/>
    <n v="5"/>
    <n v="2000"/>
    <n v="10000"/>
    <x v="5"/>
  </r>
  <r>
    <s v="2024-05-02"/>
    <n v="1213"/>
    <x v="0"/>
    <x v="3"/>
    <x v="0"/>
    <n v="3"/>
    <n v="15000"/>
    <n v="45000"/>
    <x v="0"/>
  </r>
  <r>
    <s v="2024-05-30"/>
    <n v="1214"/>
    <x v="0"/>
    <x v="5"/>
    <x v="3"/>
    <n v="2"/>
    <n v="30000"/>
    <n v="60000"/>
    <x v="0"/>
  </r>
  <r>
    <s v="2024-02-19"/>
    <n v="1215"/>
    <x v="2"/>
    <x v="1"/>
    <x v="1"/>
    <n v="1"/>
    <n v="2000"/>
    <n v="2000"/>
    <x v="1"/>
  </r>
  <r>
    <s v="2024-01-18"/>
    <n v="1216"/>
    <x v="3"/>
    <x v="4"/>
    <x v="5"/>
    <n v="2"/>
    <n v="50000"/>
    <n v="100000"/>
    <x v="3"/>
  </r>
  <r>
    <s v="2024-01-18"/>
    <n v="1217"/>
    <x v="3"/>
    <x v="2"/>
    <x v="4"/>
    <n v="5"/>
    <n v="4000"/>
    <n v="20000"/>
    <x v="3"/>
  </r>
  <r>
    <s v="2024-04-22"/>
    <n v="1218"/>
    <x v="1"/>
    <x v="2"/>
    <x v="4"/>
    <n v="2"/>
    <n v="4000"/>
    <n v="8000"/>
    <x v="4"/>
  </r>
  <r>
    <s v="2024-02-20"/>
    <n v="1219"/>
    <x v="0"/>
    <x v="2"/>
    <x v="2"/>
    <n v="4"/>
    <n v="20000"/>
    <n v="80000"/>
    <x v="1"/>
  </r>
  <r>
    <s v="2024-01-11"/>
    <n v="1220"/>
    <x v="1"/>
    <x v="2"/>
    <x v="5"/>
    <n v="3"/>
    <n v="50000"/>
    <n v="150000"/>
    <x v="3"/>
  </r>
  <r>
    <s v="2024-02-13"/>
    <n v="1221"/>
    <x v="0"/>
    <x v="2"/>
    <x v="2"/>
    <n v="1"/>
    <n v="20000"/>
    <n v="20000"/>
    <x v="1"/>
  </r>
  <r>
    <s v="2024-06-01"/>
    <n v="1222"/>
    <x v="0"/>
    <x v="3"/>
    <x v="5"/>
    <n v="1"/>
    <n v="50000"/>
    <n v="50000"/>
    <x v="5"/>
  </r>
  <r>
    <s v="2024-04-18"/>
    <n v="1223"/>
    <x v="0"/>
    <x v="0"/>
    <x v="4"/>
    <n v="3"/>
    <n v="4000"/>
    <n v="12000"/>
    <x v="4"/>
  </r>
  <r>
    <s v="2024-03-24"/>
    <n v="1224"/>
    <x v="2"/>
    <x v="2"/>
    <x v="0"/>
    <n v="3"/>
    <n v="15000"/>
    <n v="45000"/>
    <x v="2"/>
  </r>
  <r>
    <s v="2024-05-17"/>
    <n v="1225"/>
    <x v="1"/>
    <x v="4"/>
    <x v="5"/>
    <n v="2"/>
    <n v="50000"/>
    <n v="100000"/>
    <x v="0"/>
  </r>
  <r>
    <s v="2024-01-28"/>
    <n v="1226"/>
    <x v="1"/>
    <x v="5"/>
    <x v="1"/>
    <n v="4"/>
    <n v="2000"/>
    <n v="8000"/>
    <x v="3"/>
  </r>
  <r>
    <s v="2024-02-23"/>
    <n v="1227"/>
    <x v="2"/>
    <x v="1"/>
    <x v="5"/>
    <n v="4"/>
    <n v="50000"/>
    <n v="200000"/>
    <x v="1"/>
  </r>
  <r>
    <s v="2024-01-27"/>
    <n v="1228"/>
    <x v="0"/>
    <x v="5"/>
    <x v="1"/>
    <n v="2"/>
    <n v="2000"/>
    <n v="4000"/>
    <x v="3"/>
  </r>
  <r>
    <s v="2024-04-24"/>
    <n v="1229"/>
    <x v="0"/>
    <x v="1"/>
    <x v="0"/>
    <n v="1"/>
    <n v="15000"/>
    <n v="15000"/>
    <x v="4"/>
  </r>
  <r>
    <s v="2024-04-22"/>
    <n v="1230"/>
    <x v="2"/>
    <x v="0"/>
    <x v="3"/>
    <n v="5"/>
    <n v="30000"/>
    <n v="150000"/>
    <x v="4"/>
  </r>
  <r>
    <s v="2024-04-01"/>
    <n v="1231"/>
    <x v="2"/>
    <x v="5"/>
    <x v="2"/>
    <n v="2"/>
    <n v="20000"/>
    <n v="40000"/>
    <x v="4"/>
  </r>
  <r>
    <s v="2024-03-29"/>
    <n v="1232"/>
    <x v="2"/>
    <x v="5"/>
    <x v="5"/>
    <n v="3"/>
    <n v="50000"/>
    <n v="150000"/>
    <x v="2"/>
  </r>
  <r>
    <s v="2024-02-16"/>
    <n v="1233"/>
    <x v="1"/>
    <x v="4"/>
    <x v="5"/>
    <n v="2"/>
    <n v="50000"/>
    <n v="100000"/>
    <x v="1"/>
  </r>
  <r>
    <s v="2024-02-25"/>
    <n v="1234"/>
    <x v="2"/>
    <x v="0"/>
    <x v="4"/>
    <n v="1"/>
    <n v="4000"/>
    <n v="4000"/>
    <x v="1"/>
  </r>
  <r>
    <s v="2024-05-13"/>
    <n v="1235"/>
    <x v="0"/>
    <x v="4"/>
    <x v="1"/>
    <n v="1"/>
    <n v="2000"/>
    <n v="2000"/>
    <x v="0"/>
  </r>
  <r>
    <s v="2024-06-16"/>
    <n v="1236"/>
    <x v="3"/>
    <x v="5"/>
    <x v="1"/>
    <n v="1"/>
    <n v="2000"/>
    <n v="2000"/>
    <x v="5"/>
  </r>
  <r>
    <s v="2024-01-12"/>
    <n v="1237"/>
    <x v="3"/>
    <x v="3"/>
    <x v="0"/>
    <n v="1"/>
    <n v="15000"/>
    <n v="15000"/>
    <x v="3"/>
  </r>
  <r>
    <s v="2024-05-06"/>
    <n v="1238"/>
    <x v="2"/>
    <x v="1"/>
    <x v="0"/>
    <n v="3"/>
    <n v="15000"/>
    <n v="45000"/>
    <x v="0"/>
  </r>
  <r>
    <s v="2024-04-24"/>
    <n v="1239"/>
    <x v="0"/>
    <x v="4"/>
    <x v="3"/>
    <n v="1"/>
    <n v="30000"/>
    <n v="30000"/>
    <x v="4"/>
  </r>
  <r>
    <s v="2024-03-08"/>
    <n v="1240"/>
    <x v="3"/>
    <x v="1"/>
    <x v="4"/>
    <n v="4"/>
    <n v="4000"/>
    <n v="16000"/>
    <x v="2"/>
  </r>
  <r>
    <s v="2024-05-05"/>
    <n v="1241"/>
    <x v="3"/>
    <x v="5"/>
    <x v="4"/>
    <n v="1"/>
    <n v="4000"/>
    <n v="4000"/>
    <x v="0"/>
  </r>
  <r>
    <s v="2024-03-03"/>
    <n v="1242"/>
    <x v="2"/>
    <x v="1"/>
    <x v="2"/>
    <n v="3"/>
    <n v="20000"/>
    <n v="60000"/>
    <x v="2"/>
  </r>
  <r>
    <s v="2024-02-27"/>
    <n v="1243"/>
    <x v="1"/>
    <x v="0"/>
    <x v="4"/>
    <n v="3"/>
    <n v="4000"/>
    <n v="12000"/>
    <x v="1"/>
  </r>
  <r>
    <s v="2024-04-27"/>
    <n v="1244"/>
    <x v="3"/>
    <x v="4"/>
    <x v="3"/>
    <n v="1"/>
    <n v="30000"/>
    <n v="30000"/>
    <x v="4"/>
  </r>
  <r>
    <s v="2024-05-15"/>
    <n v="1245"/>
    <x v="3"/>
    <x v="1"/>
    <x v="4"/>
    <n v="5"/>
    <n v="4000"/>
    <n v="20000"/>
    <x v="0"/>
  </r>
  <r>
    <s v="2024-04-05"/>
    <n v="1246"/>
    <x v="1"/>
    <x v="4"/>
    <x v="1"/>
    <n v="2"/>
    <n v="2000"/>
    <n v="4000"/>
    <x v="4"/>
  </r>
  <r>
    <s v="2024-06-05"/>
    <n v="1247"/>
    <x v="1"/>
    <x v="4"/>
    <x v="1"/>
    <n v="3"/>
    <n v="2000"/>
    <n v="6000"/>
    <x v="5"/>
  </r>
  <r>
    <s v="2024-01-16"/>
    <n v="1248"/>
    <x v="3"/>
    <x v="0"/>
    <x v="5"/>
    <n v="5"/>
    <n v="50000"/>
    <n v="250000"/>
    <x v="3"/>
  </r>
  <r>
    <s v="2024-02-24"/>
    <n v="1249"/>
    <x v="0"/>
    <x v="3"/>
    <x v="1"/>
    <n v="1"/>
    <n v="2000"/>
    <n v="2000"/>
    <x v="1"/>
  </r>
  <r>
    <s v="2024-03-19"/>
    <n v="1250"/>
    <x v="3"/>
    <x v="0"/>
    <x v="4"/>
    <n v="3"/>
    <n v="4000"/>
    <n v="12000"/>
    <x v="2"/>
  </r>
  <r>
    <s v="2024-03-31"/>
    <n v="1251"/>
    <x v="3"/>
    <x v="3"/>
    <x v="5"/>
    <n v="2"/>
    <n v="50000"/>
    <n v="100000"/>
    <x v="2"/>
  </r>
  <r>
    <s v="2024-02-17"/>
    <n v="1252"/>
    <x v="3"/>
    <x v="0"/>
    <x v="2"/>
    <n v="4"/>
    <n v="20000"/>
    <n v="80000"/>
    <x v="1"/>
  </r>
  <r>
    <s v="2024-01-29"/>
    <n v="1253"/>
    <x v="0"/>
    <x v="1"/>
    <x v="1"/>
    <n v="1"/>
    <n v="2000"/>
    <n v="2000"/>
    <x v="3"/>
  </r>
  <r>
    <s v="2024-01-23"/>
    <n v="1254"/>
    <x v="1"/>
    <x v="3"/>
    <x v="5"/>
    <n v="4"/>
    <n v="50000"/>
    <n v="200000"/>
    <x v="3"/>
  </r>
  <r>
    <s v="2024-06-25"/>
    <n v="1255"/>
    <x v="0"/>
    <x v="3"/>
    <x v="5"/>
    <n v="3"/>
    <n v="50000"/>
    <n v="150000"/>
    <x v="5"/>
  </r>
  <r>
    <s v="2024-05-23"/>
    <n v="1256"/>
    <x v="3"/>
    <x v="5"/>
    <x v="0"/>
    <n v="1"/>
    <n v="15000"/>
    <n v="15000"/>
    <x v="0"/>
  </r>
  <r>
    <s v="2024-03-25"/>
    <n v="1257"/>
    <x v="2"/>
    <x v="1"/>
    <x v="2"/>
    <n v="4"/>
    <n v="20000"/>
    <n v="80000"/>
    <x v="2"/>
  </r>
  <r>
    <s v="2024-01-11"/>
    <n v="1258"/>
    <x v="3"/>
    <x v="4"/>
    <x v="1"/>
    <n v="3"/>
    <n v="2000"/>
    <n v="6000"/>
    <x v="3"/>
  </r>
  <r>
    <s v="2024-03-14"/>
    <n v="1259"/>
    <x v="0"/>
    <x v="3"/>
    <x v="5"/>
    <n v="4"/>
    <n v="50000"/>
    <n v="200000"/>
    <x v="2"/>
  </r>
  <r>
    <s v="2024-06-10"/>
    <n v="1260"/>
    <x v="3"/>
    <x v="2"/>
    <x v="5"/>
    <n v="4"/>
    <n v="50000"/>
    <n v="200000"/>
    <x v="5"/>
  </r>
  <r>
    <s v="2024-02-18"/>
    <n v="1261"/>
    <x v="2"/>
    <x v="5"/>
    <x v="4"/>
    <n v="1"/>
    <n v="4000"/>
    <n v="4000"/>
    <x v="1"/>
  </r>
  <r>
    <s v="2024-05-31"/>
    <n v="1262"/>
    <x v="3"/>
    <x v="1"/>
    <x v="4"/>
    <n v="5"/>
    <n v="4000"/>
    <n v="20000"/>
    <x v="0"/>
  </r>
  <r>
    <s v="2024-05-20"/>
    <n v="1263"/>
    <x v="3"/>
    <x v="0"/>
    <x v="5"/>
    <n v="2"/>
    <n v="50000"/>
    <n v="100000"/>
    <x v="0"/>
  </r>
  <r>
    <s v="2024-03-23"/>
    <n v="1264"/>
    <x v="1"/>
    <x v="2"/>
    <x v="0"/>
    <n v="2"/>
    <n v="15000"/>
    <n v="30000"/>
    <x v="2"/>
  </r>
  <r>
    <s v="2024-06-27"/>
    <n v="1265"/>
    <x v="0"/>
    <x v="3"/>
    <x v="5"/>
    <n v="4"/>
    <n v="50000"/>
    <n v="200000"/>
    <x v="5"/>
  </r>
  <r>
    <s v="2024-06-13"/>
    <n v="1266"/>
    <x v="0"/>
    <x v="2"/>
    <x v="2"/>
    <n v="4"/>
    <n v="20000"/>
    <n v="80000"/>
    <x v="5"/>
  </r>
  <r>
    <s v="2024-04-16"/>
    <n v="1267"/>
    <x v="0"/>
    <x v="1"/>
    <x v="4"/>
    <n v="5"/>
    <n v="4000"/>
    <n v="20000"/>
    <x v="4"/>
  </r>
  <r>
    <s v="2024-05-07"/>
    <n v="1268"/>
    <x v="1"/>
    <x v="2"/>
    <x v="2"/>
    <n v="2"/>
    <n v="20000"/>
    <n v="40000"/>
    <x v="0"/>
  </r>
  <r>
    <s v="2024-06-21"/>
    <n v="1269"/>
    <x v="3"/>
    <x v="1"/>
    <x v="1"/>
    <n v="2"/>
    <n v="2000"/>
    <n v="4000"/>
    <x v="5"/>
  </r>
  <r>
    <s v="2024-05-17"/>
    <n v="1270"/>
    <x v="0"/>
    <x v="2"/>
    <x v="3"/>
    <n v="5"/>
    <n v="30000"/>
    <n v="150000"/>
    <x v="0"/>
  </r>
  <r>
    <s v="2024-06-17"/>
    <n v="1271"/>
    <x v="2"/>
    <x v="4"/>
    <x v="3"/>
    <n v="2"/>
    <n v="30000"/>
    <n v="60000"/>
    <x v="5"/>
  </r>
  <r>
    <s v="2024-06-01"/>
    <n v="1272"/>
    <x v="0"/>
    <x v="5"/>
    <x v="0"/>
    <n v="2"/>
    <n v="15000"/>
    <n v="30000"/>
    <x v="5"/>
  </r>
  <r>
    <s v="2024-02-19"/>
    <n v="1273"/>
    <x v="3"/>
    <x v="2"/>
    <x v="0"/>
    <n v="5"/>
    <n v="15000"/>
    <n v="75000"/>
    <x v="1"/>
  </r>
  <r>
    <s v="2024-05-05"/>
    <n v="1274"/>
    <x v="1"/>
    <x v="3"/>
    <x v="0"/>
    <n v="3"/>
    <n v="15000"/>
    <n v="45000"/>
    <x v="0"/>
  </r>
  <r>
    <s v="2024-02-10"/>
    <n v="1275"/>
    <x v="3"/>
    <x v="3"/>
    <x v="5"/>
    <n v="4"/>
    <n v="50000"/>
    <n v="200000"/>
    <x v="1"/>
  </r>
  <r>
    <s v="2024-01-29"/>
    <n v="1276"/>
    <x v="2"/>
    <x v="0"/>
    <x v="4"/>
    <n v="1"/>
    <n v="4000"/>
    <n v="4000"/>
    <x v="3"/>
  </r>
  <r>
    <s v="2024-03-25"/>
    <n v="1277"/>
    <x v="0"/>
    <x v="0"/>
    <x v="2"/>
    <n v="5"/>
    <n v="20000"/>
    <n v="100000"/>
    <x v="2"/>
  </r>
  <r>
    <s v="2024-02-26"/>
    <n v="1278"/>
    <x v="2"/>
    <x v="0"/>
    <x v="0"/>
    <n v="4"/>
    <n v="15000"/>
    <n v="60000"/>
    <x v="1"/>
  </r>
  <r>
    <s v="2024-04-13"/>
    <n v="1279"/>
    <x v="1"/>
    <x v="2"/>
    <x v="4"/>
    <n v="3"/>
    <n v="4000"/>
    <n v="12000"/>
    <x v="4"/>
  </r>
  <r>
    <s v="2024-03-05"/>
    <n v="1280"/>
    <x v="0"/>
    <x v="2"/>
    <x v="3"/>
    <n v="1"/>
    <n v="30000"/>
    <n v="30000"/>
    <x v="2"/>
  </r>
  <r>
    <s v="2024-03-30"/>
    <n v="1281"/>
    <x v="2"/>
    <x v="5"/>
    <x v="3"/>
    <n v="3"/>
    <n v="30000"/>
    <n v="90000"/>
    <x v="2"/>
  </r>
  <r>
    <s v="2024-06-17"/>
    <n v="1282"/>
    <x v="1"/>
    <x v="4"/>
    <x v="2"/>
    <n v="4"/>
    <n v="20000"/>
    <n v="80000"/>
    <x v="5"/>
  </r>
  <r>
    <s v="2024-03-29"/>
    <n v="1283"/>
    <x v="2"/>
    <x v="5"/>
    <x v="5"/>
    <n v="2"/>
    <n v="50000"/>
    <n v="100000"/>
    <x v="2"/>
  </r>
  <r>
    <s v="2024-06-26"/>
    <n v="1284"/>
    <x v="0"/>
    <x v="1"/>
    <x v="1"/>
    <n v="1"/>
    <n v="2000"/>
    <n v="2000"/>
    <x v="5"/>
  </r>
  <r>
    <s v="2024-02-03"/>
    <n v="1285"/>
    <x v="2"/>
    <x v="5"/>
    <x v="3"/>
    <n v="3"/>
    <n v="30000"/>
    <n v="90000"/>
    <x v="1"/>
  </r>
  <r>
    <s v="2024-04-11"/>
    <n v="1286"/>
    <x v="0"/>
    <x v="1"/>
    <x v="0"/>
    <n v="3"/>
    <n v="15000"/>
    <n v="45000"/>
    <x v="4"/>
  </r>
  <r>
    <s v="2024-01-25"/>
    <n v="1287"/>
    <x v="0"/>
    <x v="3"/>
    <x v="1"/>
    <n v="2"/>
    <n v="2000"/>
    <n v="4000"/>
    <x v="3"/>
  </r>
  <r>
    <s v="2024-01-19"/>
    <n v="1288"/>
    <x v="1"/>
    <x v="1"/>
    <x v="3"/>
    <n v="2"/>
    <n v="30000"/>
    <n v="60000"/>
    <x v="3"/>
  </r>
  <r>
    <s v="2024-01-29"/>
    <n v="1289"/>
    <x v="1"/>
    <x v="2"/>
    <x v="4"/>
    <n v="3"/>
    <n v="4000"/>
    <n v="12000"/>
    <x v="3"/>
  </r>
  <r>
    <s v="2024-03-07"/>
    <n v="1290"/>
    <x v="0"/>
    <x v="2"/>
    <x v="1"/>
    <n v="4"/>
    <n v="2000"/>
    <n v="8000"/>
    <x v="2"/>
  </r>
  <r>
    <s v="2024-05-31"/>
    <n v="1291"/>
    <x v="0"/>
    <x v="2"/>
    <x v="3"/>
    <n v="5"/>
    <n v="30000"/>
    <n v="150000"/>
    <x v="0"/>
  </r>
  <r>
    <s v="2024-03-21"/>
    <n v="1292"/>
    <x v="3"/>
    <x v="3"/>
    <x v="2"/>
    <n v="2"/>
    <n v="20000"/>
    <n v="40000"/>
    <x v="2"/>
  </r>
  <r>
    <s v="2024-02-16"/>
    <n v="1293"/>
    <x v="2"/>
    <x v="1"/>
    <x v="1"/>
    <n v="4"/>
    <n v="2000"/>
    <n v="8000"/>
    <x v="1"/>
  </r>
  <r>
    <s v="2024-06-23"/>
    <n v="1294"/>
    <x v="0"/>
    <x v="0"/>
    <x v="0"/>
    <n v="2"/>
    <n v="15000"/>
    <n v="30000"/>
    <x v="5"/>
  </r>
  <r>
    <s v="2024-03-28"/>
    <n v="1295"/>
    <x v="3"/>
    <x v="2"/>
    <x v="5"/>
    <n v="1"/>
    <n v="50000"/>
    <n v="50000"/>
    <x v="2"/>
  </r>
  <r>
    <s v="2024-04-06"/>
    <n v="1296"/>
    <x v="3"/>
    <x v="5"/>
    <x v="1"/>
    <n v="2"/>
    <n v="2000"/>
    <n v="4000"/>
    <x v="4"/>
  </r>
  <r>
    <s v="2024-03-06"/>
    <n v="1297"/>
    <x v="3"/>
    <x v="1"/>
    <x v="0"/>
    <n v="5"/>
    <n v="15000"/>
    <n v="75000"/>
    <x v="2"/>
  </r>
  <r>
    <s v="2024-01-21"/>
    <n v="1298"/>
    <x v="0"/>
    <x v="1"/>
    <x v="0"/>
    <n v="1"/>
    <n v="15000"/>
    <n v="15000"/>
    <x v="3"/>
  </r>
  <r>
    <s v="2024-01-09"/>
    <n v="1299"/>
    <x v="1"/>
    <x v="2"/>
    <x v="1"/>
    <n v="5"/>
    <n v="2000"/>
    <n v="10000"/>
    <x v="3"/>
  </r>
  <r>
    <s v="2024-04-26"/>
    <n v="1300"/>
    <x v="3"/>
    <x v="4"/>
    <x v="4"/>
    <n v="1"/>
    <n v="4000"/>
    <n v="4000"/>
    <x v="4"/>
  </r>
  <r>
    <s v="2024-02-13"/>
    <n v="1301"/>
    <x v="1"/>
    <x v="0"/>
    <x v="4"/>
    <n v="1"/>
    <n v="4000"/>
    <n v="4000"/>
    <x v="1"/>
  </r>
  <r>
    <s v="2024-03-04"/>
    <n v="1302"/>
    <x v="0"/>
    <x v="1"/>
    <x v="4"/>
    <n v="5"/>
    <n v="4000"/>
    <n v="20000"/>
    <x v="2"/>
  </r>
  <r>
    <s v="2024-02-08"/>
    <n v="1303"/>
    <x v="3"/>
    <x v="1"/>
    <x v="0"/>
    <n v="3"/>
    <n v="15000"/>
    <n v="45000"/>
    <x v="1"/>
  </r>
  <r>
    <s v="2024-04-01"/>
    <n v="1304"/>
    <x v="1"/>
    <x v="5"/>
    <x v="3"/>
    <n v="1"/>
    <n v="30000"/>
    <n v="30000"/>
    <x v="4"/>
  </r>
  <r>
    <s v="2024-01-13"/>
    <n v="1305"/>
    <x v="1"/>
    <x v="5"/>
    <x v="1"/>
    <n v="5"/>
    <n v="2000"/>
    <n v="10000"/>
    <x v="3"/>
  </r>
  <r>
    <s v="2024-06-25"/>
    <n v="1306"/>
    <x v="2"/>
    <x v="1"/>
    <x v="3"/>
    <n v="3"/>
    <n v="30000"/>
    <n v="90000"/>
    <x v="5"/>
  </r>
  <r>
    <s v="2024-03-11"/>
    <n v="1307"/>
    <x v="0"/>
    <x v="3"/>
    <x v="1"/>
    <n v="4"/>
    <n v="2000"/>
    <n v="8000"/>
    <x v="2"/>
  </r>
  <r>
    <s v="2024-06-04"/>
    <n v="1308"/>
    <x v="1"/>
    <x v="2"/>
    <x v="0"/>
    <n v="2"/>
    <n v="15000"/>
    <n v="30000"/>
    <x v="5"/>
  </r>
  <r>
    <s v="2024-06-25"/>
    <n v="1309"/>
    <x v="2"/>
    <x v="3"/>
    <x v="1"/>
    <n v="2"/>
    <n v="2000"/>
    <n v="4000"/>
    <x v="5"/>
  </r>
  <r>
    <s v="2024-05-20"/>
    <n v="1310"/>
    <x v="1"/>
    <x v="1"/>
    <x v="2"/>
    <n v="2"/>
    <n v="20000"/>
    <n v="40000"/>
    <x v="0"/>
  </r>
  <r>
    <s v="2024-03-20"/>
    <n v="1311"/>
    <x v="2"/>
    <x v="5"/>
    <x v="2"/>
    <n v="2"/>
    <n v="20000"/>
    <n v="40000"/>
    <x v="2"/>
  </r>
  <r>
    <s v="2024-01-03"/>
    <n v="1312"/>
    <x v="0"/>
    <x v="0"/>
    <x v="2"/>
    <n v="1"/>
    <n v="20000"/>
    <n v="20000"/>
    <x v="3"/>
  </r>
  <r>
    <s v="2024-02-04"/>
    <n v="1313"/>
    <x v="3"/>
    <x v="2"/>
    <x v="1"/>
    <n v="3"/>
    <n v="2000"/>
    <n v="6000"/>
    <x v="1"/>
  </r>
  <r>
    <s v="2024-05-21"/>
    <n v="1314"/>
    <x v="0"/>
    <x v="5"/>
    <x v="1"/>
    <n v="4"/>
    <n v="2000"/>
    <n v="8000"/>
    <x v="0"/>
  </r>
  <r>
    <s v="2024-06-02"/>
    <n v="1315"/>
    <x v="1"/>
    <x v="0"/>
    <x v="4"/>
    <n v="4"/>
    <n v="4000"/>
    <n v="16000"/>
    <x v="5"/>
  </r>
  <r>
    <s v="2024-03-08"/>
    <n v="1316"/>
    <x v="0"/>
    <x v="3"/>
    <x v="3"/>
    <n v="5"/>
    <n v="30000"/>
    <n v="150000"/>
    <x v="2"/>
  </r>
  <r>
    <s v="2024-05-28"/>
    <n v="1317"/>
    <x v="1"/>
    <x v="5"/>
    <x v="0"/>
    <n v="1"/>
    <n v="15000"/>
    <n v="15000"/>
    <x v="0"/>
  </r>
  <r>
    <s v="2024-06-12"/>
    <n v="1318"/>
    <x v="0"/>
    <x v="0"/>
    <x v="2"/>
    <n v="1"/>
    <n v="20000"/>
    <n v="20000"/>
    <x v="5"/>
  </r>
  <r>
    <s v="2024-06-20"/>
    <n v="1319"/>
    <x v="1"/>
    <x v="3"/>
    <x v="4"/>
    <n v="1"/>
    <n v="4000"/>
    <n v="4000"/>
    <x v="5"/>
  </r>
  <r>
    <s v="2024-05-14"/>
    <n v="1320"/>
    <x v="3"/>
    <x v="4"/>
    <x v="3"/>
    <n v="3"/>
    <n v="30000"/>
    <n v="90000"/>
    <x v="0"/>
  </r>
  <r>
    <s v="2024-05-19"/>
    <n v="1321"/>
    <x v="3"/>
    <x v="1"/>
    <x v="4"/>
    <n v="5"/>
    <n v="4000"/>
    <n v="20000"/>
    <x v="0"/>
  </r>
  <r>
    <s v="2024-04-28"/>
    <n v="1322"/>
    <x v="2"/>
    <x v="3"/>
    <x v="5"/>
    <n v="1"/>
    <n v="50000"/>
    <n v="50000"/>
    <x v="4"/>
  </r>
  <r>
    <s v="2024-06-29"/>
    <n v="1323"/>
    <x v="3"/>
    <x v="5"/>
    <x v="1"/>
    <n v="3"/>
    <n v="2000"/>
    <n v="6000"/>
    <x v="5"/>
  </r>
  <r>
    <s v="2024-02-15"/>
    <n v="1324"/>
    <x v="2"/>
    <x v="3"/>
    <x v="5"/>
    <n v="4"/>
    <n v="50000"/>
    <n v="200000"/>
    <x v="1"/>
  </r>
  <r>
    <s v="2024-02-22"/>
    <n v="1325"/>
    <x v="2"/>
    <x v="3"/>
    <x v="1"/>
    <n v="4"/>
    <n v="2000"/>
    <n v="8000"/>
    <x v="1"/>
  </r>
  <r>
    <s v="2024-02-21"/>
    <n v="1326"/>
    <x v="2"/>
    <x v="0"/>
    <x v="1"/>
    <n v="5"/>
    <n v="2000"/>
    <n v="10000"/>
    <x v="1"/>
  </r>
  <r>
    <s v="2024-04-19"/>
    <n v="1327"/>
    <x v="1"/>
    <x v="1"/>
    <x v="2"/>
    <n v="4"/>
    <n v="20000"/>
    <n v="80000"/>
    <x v="4"/>
  </r>
  <r>
    <s v="2024-05-30"/>
    <n v="1328"/>
    <x v="1"/>
    <x v="3"/>
    <x v="2"/>
    <n v="4"/>
    <n v="20000"/>
    <n v="80000"/>
    <x v="0"/>
  </r>
  <r>
    <s v="2024-05-13"/>
    <n v="1329"/>
    <x v="0"/>
    <x v="4"/>
    <x v="0"/>
    <n v="5"/>
    <n v="15000"/>
    <n v="75000"/>
    <x v="0"/>
  </r>
  <r>
    <s v="2024-05-14"/>
    <n v="1330"/>
    <x v="3"/>
    <x v="4"/>
    <x v="1"/>
    <n v="3"/>
    <n v="2000"/>
    <n v="6000"/>
    <x v="0"/>
  </r>
  <r>
    <s v="2024-03-08"/>
    <n v="1331"/>
    <x v="3"/>
    <x v="1"/>
    <x v="5"/>
    <n v="1"/>
    <n v="50000"/>
    <n v="50000"/>
    <x v="2"/>
  </r>
  <r>
    <s v="2024-02-13"/>
    <n v="1332"/>
    <x v="1"/>
    <x v="2"/>
    <x v="4"/>
    <n v="5"/>
    <n v="4000"/>
    <n v="20000"/>
    <x v="1"/>
  </r>
  <r>
    <s v="2024-02-08"/>
    <n v="1333"/>
    <x v="3"/>
    <x v="4"/>
    <x v="1"/>
    <n v="1"/>
    <n v="2000"/>
    <n v="2000"/>
    <x v="1"/>
  </r>
  <r>
    <s v="2024-01-02"/>
    <n v="1334"/>
    <x v="2"/>
    <x v="4"/>
    <x v="5"/>
    <n v="5"/>
    <n v="50000"/>
    <n v="250000"/>
    <x v="3"/>
  </r>
  <r>
    <s v="2024-02-09"/>
    <n v="1335"/>
    <x v="0"/>
    <x v="3"/>
    <x v="3"/>
    <n v="1"/>
    <n v="30000"/>
    <n v="30000"/>
    <x v="1"/>
  </r>
  <r>
    <s v="2024-03-08"/>
    <n v="1336"/>
    <x v="2"/>
    <x v="1"/>
    <x v="1"/>
    <n v="4"/>
    <n v="2000"/>
    <n v="8000"/>
    <x v="2"/>
  </r>
  <r>
    <s v="2024-04-05"/>
    <n v="1337"/>
    <x v="1"/>
    <x v="1"/>
    <x v="2"/>
    <n v="1"/>
    <n v="20000"/>
    <n v="20000"/>
    <x v="4"/>
  </r>
  <r>
    <s v="2024-02-26"/>
    <n v="1338"/>
    <x v="1"/>
    <x v="4"/>
    <x v="0"/>
    <n v="3"/>
    <n v="15000"/>
    <n v="45000"/>
    <x v="1"/>
  </r>
  <r>
    <s v="2024-02-05"/>
    <n v="1339"/>
    <x v="0"/>
    <x v="4"/>
    <x v="5"/>
    <n v="4"/>
    <n v="50000"/>
    <n v="200000"/>
    <x v="1"/>
  </r>
  <r>
    <s v="2024-06-24"/>
    <n v="1340"/>
    <x v="3"/>
    <x v="3"/>
    <x v="0"/>
    <n v="5"/>
    <n v="15000"/>
    <n v="75000"/>
    <x v="5"/>
  </r>
  <r>
    <s v="2024-01-14"/>
    <n v="1341"/>
    <x v="1"/>
    <x v="2"/>
    <x v="1"/>
    <n v="3"/>
    <n v="2000"/>
    <n v="6000"/>
    <x v="3"/>
  </r>
  <r>
    <s v="2024-04-19"/>
    <n v="1342"/>
    <x v="1"/>
    <x v="1"/>
    <x v="3"/>
    <n v="2"/>
    <n v="30000"/>
    <n v="60000"/>
    <x v="4"/>
  </r>
  <r>
    <s v="2024-03-02"/>
    <n v="1343"/>
    <x v="3"/>
    <x v="3"/>
    <x v="5"/>
    <n v="5"/>
    <n v="50000"/>
    <n v="250000"/>
    <x v="2"/>
  </r>
  <r>
    <s v="2024-01-02"/>
    <n v="1344"/>
    <x v="3"/>
    <x v="2"/>
    <x v="5"/>
    <n v="1"/>
    <n v="50000"/>
    <n v="50000"/>
    <x v="3"/>
  </r>
  <r>
    <s v="2024-06-14"/>
    <n v="1345"/>
    <x v="2"/>
    <x v="3"/>
    <x v="5"/>
    <n v="3"/>
    <n v="50000"/>
    <n v="150000"/>
    <x v="5"/>
  </r>
  <r>
    <s v="2024-06-21"/>
    <n v="1346"/>
    <x v="0"/>
    <x v="5"/>
    <x v="0"/>
    <n v="1"/>
    <n v="15000"/>
    <n v="15000"/>
    <x v="5"/>
  </r>
  <r>
    <s v="2024-02-13"/>
    <n v="1347"/>
    <x v="3"/>
    <x v="4"/>
    <x v="2"/>
    <n v="2"/>
    <n v="20000"/>
    <n v="40000"/>
    <x v="1"/>
  </r>
  <r>
    <s v="2024-05-18"/>
    <n v="1348"/>
    <x v="0"/>
    <x v="0"/>
    <x v="0"/>
    <n v="3"/>
    <n v="15000"/>
    <n v="45000"/>
    <x v="0"/>
  </r>
  <r>
    <s v="2024-04-11"/>
    <n v="1349"/>
    <x v="1"/>
    <x v="0"/>
    <x v="2"/>
    <n v="2"/>
    <n v="20000"/>
    <n v="40000"/>
    <x v="4"/>
  </r>
  <r>
    <s v="2024-01-29"/>
    <n v="1350"/>
    <x v="0"/>
    <x v="1"/>
    <x v="4"/>
    <n v="1"/>
    <n v="4000"/>
    <n v="4000"/>
    <x v="3"/>
  </r>
  <r>
    <s v="2024-04-04"/>
    <n v="1351"/>
    <x v="2"/>
    <x v="5"/>
    <x v="2"/>
    <n v="5"/>
    <n v="20000"/>
    <n v="100000"/>
    <x v="4"/>
  </r>
  <r>
    <s v="2024-06-05"/>
    <n v="1352"/>
    <x v="3"/>
    <x v="0"/>
    <x v="0"/>
    <n v="2"/>
    <n v="15000"/>
    <n v="30000"/>
    <x v="5"/>
  </r>
  <r>
    <s v="2024-01-30"/>
    <n v="1353"/>
    <x v="3"/>
    <x v="0"/>
    <x v="3"/>
    <n v="3"/>
    <n v="30000"/>
    <n v="90000"/>
    <x v="3"/>
  </r>
  <r>
    <s v="2024-03-30"/>
    <n v="1354"/>
    <x v="2"/>
    <x v="0"/>
    <x v="4"/>
    <n v="3"/>
    <n v="4000"/>
    <n v="12000"/>
    <x v="2"/>
  </r>
  <r>
    <s v="2024-02-17"/>
    <n v="1355"/>
    <x v="3"/>
    <x v="1"/>
    <x v="1"/>
    <n v="1"/>
    <n v="2000"/>
    <n v="2000"/>
    <x v="1"/>
  </r>
  <r>
    <s v="2024-03-21"/>
    <n v="1356"/>
    <x v="1"/>
    <x v="2"/>
    <x v="4"/>
    <n v="2"/>
    <n v="4000"/>
    <n v="8000"/>
    <x v="2"/>
  </r>
  <r>
    <s v="2024-01-12"/>
    <n v="1357"/>
    <x v="3"/>
    <x v="2"/>
    <x v="1"/>
    <n v="4"/>
    <n v="2000"/>
    <n v="8000"/>
    <x v="3"/>
  </r>
  <r>
    <s v="2024-03-27"/>
    <n v="1358"/>
    <x v="1"/>
    <x v="0"/>
    <x v="0"/>
    <n v="5"/>
    <n v="15000"/>
    <n v="75000"/>
    <x v="2"/>
  </r>
  <r>
    <s v="2024-05-27"/>
    <n v="1359"/>
    <x v="1"/>
    <x v="4"/>
    <x v="5"/>
    <n v="3"/>
    <n v="50000"/>
    <n v="150000"/>
    <x v="0"/>
  </r>
  <r>
    <s v="2024-06-27"/>
    <n v="1360"/>
    <x v="2"/>
    <x v="1"/>
    <x v="1"/>
    <n v="4"/>
    <n v="2000"/>
    <n v="8000"/>
    <x v="5"/>
  </r>
  <r>
    <s v="2024-04-01"/>
    <n v="1361"/>
    <x v="1"/>
    <x v="4"/>
    <x v="5"/>
    <n v="3"/>
    <n v="50000"/>
    <n v="150000"/>
    <x v="4"/>
  </r>
  <r>
    <s v="2024-02-11"/>
    <n v="1362"/>
    <x v="2"/>
    <x v="1"/>
    <x v="0"/>
    <n v="5"/>
    <n v="15000"/>
    <n v="75000"/>
    <x v="1"/>
  </r>
  <r>
    <s v="2024-01-03"/>
    <n v="1363"/>
    <x v="1"/>
    <x v="2"/>
    <x v="0"/>
    <n v="4"/>
    <n v="15000"/>
    <n v="60000"/>
    <x v="3"/>
  </r>
  <r>
    <s v="2024-04-06"/>
    <n v="1364"/>
    <x v="0"/>
    <x v="4"/>
    <x v="4"/>
    <n v="2"/>
    <n v="4000"/>
    <n v="8000"/>
    <x v="4"/>
  </r>
  <r>
    <s v="2024-04-30"/>
    <n v="1365"/>
    <x v="1"/>
    <x v="5"/>
    <x v="4"/>
    <n v="2"/>
    <n v="4000"/>
    <n v="8000"/>
    <x v="4"/>
  </r>
  <r>
    <s v="2024-04-22"/>
    <n v="1366"/>
    <x v="3"/>
    <x v="3"/>
    <x v="1"/>
    <n v="2"/>
    <n v="2000"/>
    <n v="4000"/>
    <x v="4"/>
  </r>
  <r>
    <s v="2024-04-12"/>
    <n v="1367"/>
    <x v="0"/>
    <x v="0"/>
    <x v="5"/>
    <n v="4"/>
    <n v="50000"/>
    <n v="200000"/>
    <x v="4"/>
  </r>
  <r>
    <s v="2024-02-04"/>
    <n v="1368"/>
    <x v="2"/>
    <x v="2"/>
    <x v="4"/>
    <n v="5"/>
    <n v="4000"/>
    <n v="20000"/>
    <x v="1"/>
  </r>
  <r>
    <s v="2024-02-15"/>
    <n v="1369"/>
    <x v="0"/>
    <x v="1"/>
    <x v="2"/>
    <n v="5"/>
    <n v="20000"/>
    <n v="100000"/>
    <x v="1"/>
  </r>
  <r>
    <s v="2024-04-08"/>
    <n v="1370"/>
    <x v="0"/>
    <x v="2"/>
    <x v="0"/>
    <n v="3"/>
    <n v="15000"/>
    <n v="45000"/>
    <x v="4"/>
  </r>
  <r>
    <s v="2024-03-31"/>
    <n v="1371"/>
    <x v="1"/>
    <x v="0"/>
    <x v="1"/>
    <n v="4"/>
    <n v="2000"/>
    <n v="8000"/>
    <x v="2"/>
  </r>
  <r>
    <s v="2024-01-28"/>
    <n v="1372"/>
    <x v="1"/>
    <x v="5"/>
    <x v="3"/>
    <n v="3"/>
    <n v="30000"/>
    <n v="90000"/>
    <x v="3"/>
  </r>
  <r>
    <s v="2024-02-07"/>
    <n v="1373"/>
    <x v="3"/>
    <x v="0"/>
    <x v="2"/>
    <n v="2"/>
    <n v="20000"/>
    <n v="40000"/>
    <x v="1"/>
  </r>
  <r>
    <s v="2024-04-11"/>
    <n v="1374"/>
    <x v="2"/>
    <x v="5"/>
    <x v="4"/>
    <n v="4"/>
    <n v="4000"/>
    <n v="16000"/>
    <x v="4"/>
  </r>
  <r>
    <s v="2024-02-02"/>
    <n v="1375"/>
    <x v="3"/>
    <x v="4"/>
    <x v="2"/>
    <n v="2"/>
    <n v="20000"/>
    <n v="40000"/>
    <x v="1"/>
  </r>
  <r>
    <s v="2024-04-20"/>
    <n v="1376"/>
    <x v="0"/>
    <x v="1"/>
    <x v="0"/>
    <n v="4"/>
    <n v="15000"/>
    <n v="60000"/>
    <x v="4"/>
  </r>
  <r>
    <s v="2024-06-23"/>
    <n v="1377"/>
    <x v="3"/>
    <x v="3"/>
    <x v="5"/>
    <n v="3"/>
    <n v="50000"/>
    <n v="150000"/>
    <x v="5"/>
  </r>
  <r>
    <s v="2024-05-15"/>
    <n v="1378"/>
    <x v="2"/>
    <x v="1"/>
    <x v="0"/>
    <n v="3"/>
    <n v="15000"/>
    <n v="45000"/>
    <x v="0"/>
  </r>
  <r>
    <s v="2024-06-02"/>
    <n v="1379"/>
    <x v="0"/>
    <x v="5"/>
    <x v="1"/>
    <n v="4"/>
    <n v="2000"/>
    <n v="8000"/>
    <x v="5"/>
  </r>
  <r>
    <s v="2024-03-29"/>
    <n v="1380"/>
    <x v="3"/>
    <x v="5"/>
    <x v="2"/>
    <n v="1"/>
    <n v="20000"/>
    <n v="20000"/>
    <x v="2"/>
  </r>
  <r>
    <s v="2024-05-17"/>
    <n v="1381"/>
    <x v="1"/>
    <x v="1"/>
    <x v="1"/>
    <n v="2"/>
    <n v="2000"/>
    <n v="4000"/>
    <x v="0"/>
  </r>
  <r>
    <s v="2024-04-23"/>
    <n v="1382"/>
    <x v="2"/>
    <x v="0"/>
    <x v="1"/>
    <n v="3"/>
    <n v="2000"/>
    <n v="6000"/>
    <x v="4"/>
  </r>
  <r>
    <s v="2024-02-08"/>
    <n v="1383"/>
    <x v="1"/>
    <x v="5"/>
    <x v="3"/>
    <n v="2"/>
    <n v="30000"/>
    <n v="60000"/>
    <x v="1"/>
  </r>
  <r>
    <s v="2024-01-27"/>
    <n v="1384"/>
    <x v="1"/>
    <x v="2"/>
    <x v="4"/>
    <n v="2"/>
    <n v="4000"/>
    <n v="8000"/>
    <x v="3"/>
  </r>
  <r>
    <s v="2024-01-15"/>
    <n v="1385"/>
    <x v="3"/>
    <x v="2"/>
    <x v="0"/>
    <n v="5"/>
    <n v="15000"/>
    <n v="75000"/>
    <x v="3"/>
  </r>
  <r>
    <s v="2024-06-25"/>
    <n v="1386"/>
    <x v="0"/>
    <x v="4"/>
    <x v="3"/>
    <n v="3"/>
    <n v="30000"/>
    <n v="90000"/>
    <x v="5"/>
  </r>
  <r>
    <s v="2024-04-15"/>
    <n v="1387"/>
    <x v="0"/>
    <x v="0"/>
    <x v="0"/>
    <n v="2"/>
    <n v="15000"/>
    <n v="30000"/>
    <x v="4"/>
  </r>
  <r>
    <s v="2024-05-23"/>
    <n v="1388"/>
    <x v="2"/>
    <x v="2"/>
    <x v="2"/>
    <n v="3"/>
    <n v="20000"/>
    <n v="60000"/>
    <x v="0"/>
  </r>
  <r>
    <s v="2024-04-05"/>
    <n v="1389"/>
    <x v="0"/>
    <x v="1"/>
    <x v="0"/>
    <n v="4"/>
    <n v="15000"/>
    <n v="60000"/>
    <x v="4"/>
  </r>
  <r>
    <s v="2024-01-17"/>
    <n v="1390"/>
    <x v="0"/>
    <x v="2"/>
    <x v="1"/>
    <n v="2"/>
    <n v="2000"/>
    <n v="4000"/>
    <x v="3"/>
  </r>
  <r>
    <s v="2024-05-28"/>
    <n v="1391"/>
    <x v="3"/>
    <x v="1"/>
    <x v="5"/>
    <n v="4"/>
    <n v="50000"/>
    <n v="200000"/>
    <x v="0"/>
  </r>
  <r>
    <s v="2024-04-12"/>
    <n v="1392"/>
    <x v="2"/>
    <x v="4"/>
    <x v="0"/>
    <n v="3"/>
    <n v="15000"/>
    <n v="45000"/>
    <x v="4"/>
  </r>
  <r>
    <s v="2024-03-04"/>
    <n v="1393"/>
    <x v="1"/>
    <x v="2"/>
    <x v="5"/>
    <n v="5"/>
    <n v="50000"/>
    <n v="250000"/>
    <x v="2"/>
  </r>
  <r>
    <s v="2024-05-28"/>
    <n v="1394"/>
    <x v="1"/>
    <x v="0"/>
    <x v="1"/>
    <n v="3"/>
    <n v="2000"/>
    <n v="6000"/>
    <x v="0"/>
  </r>
  <r>
    <s v="2024-05-23"/>
    <n v="1395"/>
    <x v="2"/>
    <x v="1"/>
    <x v="4"/>
    <n v="3"/>
    <n v="4000"/>
    <n v="12000"/>
    <x v="0"/>
  </r>
  <r>
    <s v="2024-01-07"/>
    <n v="1396"/>
    <x v="1"/>
    <x v="2"/>
    <x v="3"/>
    <n v="1"/>
    <n v="30000"/>
    <n v="30000"/>
    <x v="3"/>
  </r>
  <r>
    <s v="2024-05-27"/>
    <n v="1397"/>
    <x v="0"/>
    <x v="3"/>
    <x v="5"/>
    <n v="1"/>
    <n v="50000"/>
    <n v="50000"/>
    <x v="0"/>
  </r>
  <r>
    <s v="2024-03-05"/>
    <n v="1398"/>
    <x v="2"/>
    <x v="4"/>
    <x v="4"/>
    <n v="1"/>
    <n v="4000"/>
    <n v="4000"/>
    <x v="2"/>
  </r>
  <r>
    <s v="2024-01-02"/>
    <n v="1399"/>
    <x v="3"/>
    <x v="3"/>
    <x v="0"/>
    <n v="3"/>
    <n v="15000"/>
    <n v="45000"/>
    <x v="3"/>
  </r>
  <r>
    <s v="2024-03-29"/>
    <n v="1400"/>
    <x v="1"/>
    <x v="1"/>
    <x v="2"/>
    <n v="1"/>
    <n v="20000"/>
    <n v="20000"/>
    <x v="2"/>
  </r>
  <r>
    <s v="2024-04-16"/>
    <n v="1401"/>
    <x v="1"/>
    <x v="2"/>
    <x v="5"/>
    <n v="5"/>
    <n v="50000"/>
    <n v="250000"/>
    <x v="4"/>
  </r>
  <r>
    <s v="2024-05-10"/>
    <n v="1402"/>
    <x v="1"/>
    <x v="4"/>
    <x v="4"/>
    <n v="2"/>
    <n v="4000"/>
    <n v="8000"/>
    <x v="0"/>
  </r>
  <r>
    <s v="2024-02-07"/>
    <n v="1403"/>
    <x v="2"/>
    <x v="3"/>
    <x v="5"/>
    <n v="4"/>
    <n v="50000"/>
    <n v="200000"/>
    <x v="1"/>
  </r>
  <r>
    <s v="2024-01-01"/>
    <n v="1404"/>
    <x v="0"/>
    <x v="3"/>
    <x v="0"/>
    <n v="5"/>
    <n v="15000"/>
    <n v="75000"/>
    <x v="3"/>
  </r>
  <r>
    <s v="2024-02-07"/>
    <n v="1405"/>
    <x v="3"/>
    <x v="1"/>
    <x v="0"/>
    <n v="5"/>
    <n v="15000"/>
    <n v="75000"/>
    <x v="1"/>
  </r>
  <r>
    <s v="2024-04-23"/>
    <n v="1406"/>
    <x v="2"/>
    <x v="5"/>
    <x v="0"/>
    <n v="1"/>
    <n v="15000"/>
    <n v="15000"/>
    <x v="4"/>
  </r>
  <r>
    <s v="2024-06-23"/>
    <n v="1407"/>
    <x v="2"/>
    <x v="3"/>
    <x v="3"/>
    <n v="4"/>
    <n v="30000"/>
    <n v="120000"/>
    <x v="5"/>
  </r>
  <r>
    <s v="2024-02-29"/>
    <n v="1408"/>
    <x v="3"/>
    <x v="1"/>
    <x v="4"/>
    <n v="2"/>
    <n v="4000"/>
    <n v="8000"/>
    <x v="1"/>
  </r>
  <r>
    <s v="2024-02-14"/>
    <n v="1409"/>
    <x v="1"/>
    <x v="0"/>
    <x v="1"/>
    <n v="2"/>
    <n v="2000"/>
    <n v="4000"/>
    <x v="1"/>
  </r>
  <r>
    <s v="2024-05-24"/>
    <n v="1410"/>
    <x v="0"/>
    <x v="4"/>
    <x v="4"/>
    <n v="1"/>
    <n v="4000"/>
    <n v="4000"/>
    <x v="0"/>
  </r>
  <r>
    <s v="2024-01-31"/>
    <n v="1411"/>
    <x v="2"/>
    <x v="1"/>
    <x v="2"/>
    <n v="3"/>
    <n v="20000"/>
    <n v="60000"/>
    <x v="3"/>
  </r>
  <r>
    <s v="2024-01-27"/>
    <n v="1412"/>
    <x v="3"/>
    <x v="2"/>
    <x v="1"/>
    <n v="5"/>
    <n v="2000"/>
    <n v="10000"/>
    <x v="3"/>
  </r>
  <r>
    <s v="2024-04-23"/>
    <n v="1413"/>
    <x v="3"/>
    <x v="3"/>
    <x v="3"/>
    <n v="2"/>
    <n v="30000"/>
    <n v="60000"/>
    <x v="4"/>
  </r>
  <r>
    <s v="2024-02-11"/>
    <n v="1414"/>
    <x v="3"/>
    <x v="0"/>
    <x v="5"/>
    <n v="5"/>
    <n v="50000"/>
    <n v="250000"/>
    <x v="1"/>
  </r>
  <r>
    <s v="2024-01-04"/>
    <n v="1415"/>
    <x v="2"/>
    <x v="4"/>
    <x v="5"/>
    <n v="2"/>
    <n v="50000"/>
    <n v="100000"/>
    <x v="3"/>
  </r>
  <r>
    <s v="2024-06-11"/>
    <n v="1416"/>
    <x v="2"/>
    <x v="3"/>
    <x v="2"/>
    <n v="4"/>
    <n v="20000"/>
    <n v="80000"/>
    <x v="5"/>
  </r>
  <r>
    <s v="2024-05-10"/>
    <n v="1417"/>
    <x v="1"/>
    <x v="2"/>
    <x v="1"/>
    <n v="2"/>
    <n v="2000"/>
    <n v="4000"/>
    <x v="0"/>
  </r>
  <r>
    <s v="2024-01-13"/>
    <n v="1418"/>
    <x v="2"/>
    <x v="5"/>
    <x v="0"/>
    <n v="1"/>
    <n v="15000"/>
    <n v="15000"/>
    <x v="3"/>
  </r>
  <r>
    <s v="2024-06-12"/>
    <n v="1419"/>
    <x v="0"/>
    <x v="3"/>
    <x v="0"/>
    <n v="5"/>
    <n v="15000"/>
    <n v="75000"/>
    <x v="5"/>
  </r>
  <r>
    <s v="2024-03-28"/>
    <n v="1420"/>
    <x v="2"/>
    <x v="5"/>
    <x v="3"/>
    <n v="1"/>
    <n v="30000"/>
    <n v="30000"/>
    <x v="2"/>
  </r>
  <r>
    <s v="2024-01-06"/>
    <n v="1421"/>
    <x v="0"/>
    <x v="3"/>
    <x v="3"/>
    <n v="5"/>
    <n v="30000"/>
    <n v="150000"/>
    <x v="3"/>
  </r>
  <r>
    <s v="2024-03-30"/>
    <n v="1422"/>
    <x v="0"/>
    <x v="1"/>
    <x v="0"/>
    <n v="4"/>
    <n v="15000"/>
    <n v="60000"/>
    <x v="2"/>
  </r>
  <r>
    <s v="2024-03-14"/>
    <n v="1423"/>
    <x v="2"/>
    <x v="3"/>
    <x v="0"/>
    <n v="5"/>
    <n v="15000"/>
    <n v="75000"/>
    <x v="2"/>
  </r>
  <r>
    <s v="2024-04-11"/>
    <n v="1424"/>
    <x v="3"/>
    <x v="3"/>
    <x v="5"/>
    <n v="4"/>
    <n v="50000"/>
    <n v="200000"/>
    <x v="4"/>
  </r>
  <r>
    <s v="2024-05-04"/>
    <n v="1425"/>
    <x v="3"/>
    <x v="4"/>
    <x v="5"/>
    <n v="5"/>
    <n v="50000"/>
    <n v="250000"/>
    <x v="0"/>
  </r>
  <r>
    <s v="2024-05-06"/>
    <n v="1426"/>
    <x v="3"/>
    <x v="0"/>
    <x v="0"/>
    <n v="2"/>
    <n v="15000"/>
    <n v="30000"/>
    <x v="0"/>
  </r>
  <r>
    <s v="2024-06-22"/>
    <n v="1427"/>
    <x v="1"/>
    <x v="0"/>
    <x v="5"/>
    <n v="1"/>
    <n v="50000"/>
    <n v="50000"/>
    <x v="5"/>
  </r>
  <r>
    <s v="2024-03-27"/>
    <n v="1428"/>
    <x v="0"/>
    <x v="2"/>
    <x v="5"/>
    <n v="4"/>
    <n v="50000"/>
    <n v="200000"/>
    <x v="2"/>
  </r>
  <r>
    <s v="2024-02-09"/>
    <n v="1429"/>
    <x v="1"/>
    <x v="4"/>
    <x v="5"/>
    <n v="3"/>
    <n v="50000"/>
    <n v="150000"/>
    <x v="1"/>
  </r>
  <r>
    <s v="2024-02-12"/>
    <n v="1430"/>
    <x v="0"/>
    <x v="3"/>
    <x v="2"/>
    <n v="5"/>
    <n v="20000"/>
    <n v="100000"/>
    <x v="1"/>
  </r>
  <r>
    <s v="2024-06-20"/>
    <n v="1431"/>
    <x v="2"/>
    <x v="4"/>
    <x v="2"/>
    <n v="5"/>
    <n v="20000"/>
    <n v="100000"/>
    <x v="5"/>
  </r>
  <r>
    <s v="2024-05-11"/>
    <n v="1432"/>
    <x v="0"/>
    <x v="4"/>
    <x v="5"/>
    <n v="2"/>
    <n v="50000"/>
    <n v="100000"/>
    <x v="0"/>
  </r>
  <r>
    <s v="2024-04-19"/>
    <n v="1433"/>
    <x v="2"/>
    <x v="3"/>
    <x v="5"/>
    <n v="1"/>
    <n v="50000"/>
    <n v="50000"/>
    <x v="4"/>
  </r>
  <r>
    <s v="2024-05-17"/>
    <n v="1434"/>
    <x v="2"/>
    <x v="2"/>
    <x v="5"/>
    <n v="1"/>
    <n v="50000"/>
    <n v="50000"/>
    <x v="0"/>
  </r>
  <r>
    <s v="2024-05-30"/>
    <n v="1435"/>
    <x v="1"/>
    <x v="3"/>
    <x v="4"/>
    <n v="4"/>
    <n v="4000"/>
    <n v="16000"/>
    <x v="0"/>
  </r>
  <r>
    <s v="2024-04-16"/>
    <n v="1436"/>
    <x v="1"/>
    <x v="4"/>
    <x v="4"/>
    <n v="2"/>
    <n v="4000"/>
    <n v="8000"/>
    <x v="4"/>
  </r>
  <r>
    <s v="2024-05-21"/>
    <n v="1437"/>
    <x v="2"/>
    <x v="2"/>
    <x v="0"/>
    <n v="4"/>
    <n v="15000"/>
    <n v="60000"/>
    <x v="0"/>
  </r>
  <r>
    <s v="2024-05-26"/>
    <n v="1438"/>
    <x v="1"/>
    <x v="1"/>
    <x v="1"/>
    <n v="4"/>
    <n v="2000"/>
    <n v="8000"/>
    <x v="0"/>
  </r>
  <r>
    <s v="2024-03-20"/>
    <n v="1439"/>
    <x v="0"/>
    <x v="0"/>
    <x v="4"/>
    <n v="2"/>
    <n v="4000"/>
    <n v="8000"/>
    <x v="2"/>
  </r>
  <r>
    <s v="2024-01-07"/>
    <n v="1440"/>
    <x v="3"/>
    <x v="5"/>
    <x v="5"/>
    <n v="5"/>
    <n v="50000"/>
    <n v="250000"/>
    <x v="3"/>
  </r>
  <r>
    <s v="2024-01-18"/>
    <n v="1441"/>
    <x v="1"/>
    <x v="3"/>
    <x v="4"/>
    <n v="2"/>
    <n v="4000"/>
    <n v="8000"/>
    <x v="3"/>
  </r>
  <r>
    <s v="2024-02-23"/>
    <n v="1442"/>
    <x v="3"/>
    <x v="0"/>
    <x v="3"/>
    <n v="2"/>
    <n v="30000"/>
    <n v="60000"/>
    <x v="1"/>
  </r>
  <r>
    <s v="2024-02-13"/>
    <n v="1443"/>
    <x v="3"/>
    <x v="3"/>
    <x v="2"/>
    <n v="1"/>
    <n v="20000"/>
    <n v="20000"/>
    <x v="1"/>
  </r>
  <r>
    <s v="2024-03-29"/>
    <n v="1444"/>
    <x v="2"/>
    <x v="0"/>
    <x v="1"/>
    <n v="4"/>
    <n v="2000"/>
    <n v="8000"/>
    <x v="2"/>
  </r>
  <r>
    <s v="2024-03-05"/>
    <n v="1445"/>
    <x v="1"/>
    <x v="2"/>
    <x v="2"/>
    <n v="5"/>
    <n v="20000"/>
    <n v="100000"/>
    <x v="2"/>
  </r>
  <r>
    <s v="2024-02-11"/>
    <n v="1446"/>
    <x v="0"/>
    <x v="2"/>
    <x v="3"/>
    <n v="3"/>
    <n v="30000"/>
    <n v="90000"/>
    <x v="1"/>
  </r>
  <r>
    <s v="2024-02-13"/>
    <n v="1447"/>
    <x v="3"/>
    <x v="3"/>
    <x v="0"/>
    <n v="3"/>
    <n v="15000"/>
    <n v="45000"/>
    <x v="1"/>
  </r>
  <r>
    <s v="2024-01-23"/>
    <n v="1448"/>
    <x v="0"/>
    <x v="5"/>
    <x v="3"/>
    <n v="1"/>
    <n v="30000"/>
    <n v="30000"/>
    <x v="3"/>
  </r>
  <r>
    <s v="2024-01-20"/>
    <n v="1449"/>
    <x v="3"/>
    <x v="0"/>
    <x v="3"/>
    <n v="4"/>
    <n v="30000"/>
    <n v="120000"/>
    <x v="3"/>
  </r>
  <r>
    <s v="2024-03-17"/>
    <n v="1450"/>
    <x v="1"/>
    <x v="0"/>
    <x v="1"/>
    <n v="2"/>
    <n v="2000"/>
    <n v="4000"/>
    <x v="2"/>
  </r>
  <r>
    <s v="2024-05-09"/>
    <n v="1451"/>
    <x v="3"/>
    <x v="0"/>
    <x v="5"/>
    <n v="2"/>
    <n v="50000"/>
    <n v="100000"/>
    <x v="0"/>
  </r>
  <r>
    <s v="2024-01-17"/>
    <n v="1452"/>
    <x v="0"/>
    <x v="2"/>
    <x v="0"/>
    <n v="3"/>
    <n v="15000"/>
    <n v="45000"/>
    <x v="3"/>
  </r>
  <r>
    <s v="2024-03-28"/>
    <n v="1453"/>
    <x v="3"/>
    <x v="3"/>
    <x v="5"/>
    <n v="5"/>
    <n v="50000"/>
    <n v="250000"/>
    <x v="2"/>
  </r>
  <r>
    <s v="2024-06-22"/>
    <n v="1454"/>
    <x v="0"/>
    <x v="3"/>
    <x v="3"/>
    <n v="3"/>
    <n v="30000"/>
    <n v="90000"/>
    <x v="5"/>
  </r>
  <r>
    <s v="2024-05-10"/>
    <n v="1455"/>
    <x v="1"/>
    <x v="0"/>
    <x v="4"/>
    <n v="3"/>
    <n v="4000"/>
    <n v="12000"/>
    <x v="0"/>
  </r>
  <r>
    <s v="2024-02-15"/>
    <n v="1456"/>
    <x v="0"/>
    <x v="4"/>
    <x v="2"/>
    <n v="4"/>
    <n v="20000"/>
    <n v="80000"/>
    <x v="1"/>
  </r>
  <r>
    <s v="2024-04-27"/>
    <n v="1457"/>
    <x v="0"/>
    <x v="2"/>
    <x v="4"/>
    <n v="1"/>
    <n v="4000"/>
    <n v="4000"/>
    <x v="4"/>
  </r>
  <r>
    <s v="2024-02-11"/>
    <n v="1458"/>
    <x v="0"/>
    <x v="5"/>
    <x v="4"/>
    <n v="3"/>
    <n v="4000"/>
    <n v="12000"/>
    <x v="1"/>
  </r>
  <r>
    <s v="2024-02-18"/>
    <n v="1459"/>
    <x v="1"/>
    <x v="2"/>
    <x v="5"/>
    <n v="1"/>
    <n v="50000"/>
    <n v="50000"/>
    <x v="1"/>
  </r>
  <r>
    <s v="2024-03-13"/>
    <n v="1460"/>
    <x v="2"/>
    <x v="2"/>
    <x v="2"/>
    <n v="1"/>
    <n v="20000"/>
    <n v="20000"/>
    <x v="2"/>
  </r>
  <r>
    <s v="2024-06-18"/>
    <n v="1461"/>
    <x v="0"/>
    <x v="4"/>
    <x v="5"/>
    <n v="3"/>
    <n v="50000"/>
    <n v="150000"/>
    <x v="5"/>
  </r>
  <r>
    <s v="2024-03-22"/>
    <n v="1462"/>
    <x v="3"/>
    <x v="0"/>
    <x v="3"/>
    <n v="1"/>
    <n v="30000"/>
    <n v="30000"/>
    <x v="2"/>
  </r>
  <r>
    <s v="2024-04-26"/>
    <n v="1463"/>
    <x v="2"/>
    <x v="5"/>
    <x v="0"/>
    <n v="4"/>
    <n v="15000"/>
    <n v="60000"/>
    <x v="4"/>
  </r>
  <r>
    <s v="2024-06-08"/>
    <n v="1464"/>
    <x v="2"/>
    <x v="4"/>
    <x v="3"/>
    <n v="4"/>
    <n v="30000"/>
    <n v="120000"/>
    <x v="5"/>
  </r>
  <r>
    <s v="2024-03-25"/>
    <n v="1465"/>
    <x v="2"/>
    <x v="1"/>
    <x v="4"/>
    <n v="4"/>
    <n v="4000"/>
    <n v="16000"/>
    <x v="2"/>
  </r>
  <r>
    <s v="2024-04-12"/>
    <n v="1466"/>
    <x v="2"/>
    <x v="2"/>
    <x v="2"/>
    <n v="3"/>
    <n v="20000"/>
    <n v="60000"/>
    <x v="4"/>
  </r>
  <r>
    <s v="2024-02-08"/>
    <n v="1467"/>
    <x v="1"/>
    <x v="1"/>
    <x v="1"/>
    <n v="2"/>
    <n v="2000"/>
    <n v="4000"/>
    <x v="1"/>
  </r>
  <r>
    <s v="2024-02-04"/>
    <n v="1468"/>
    <x v="3"/>
    <x v="4"/>
    <x v="4"/>
    <n v="5"/>
    <n v="4000"/>
    <n v="20000"/>
    <x v="1"/>
  </r>
  <r>
    <s v="2024-06-24"/>
    <n v="1469"/>
    <x v="3"/>
    <x v="4"/>
    <x v="1"/>
    <n v="5"/>
    <n v="2000"/>
    <n v="10000"/>
    <x v="5"/>
  </r>
  <r>
    <s v="2024-02-08"/>
    <n v="1470"/>
    <x v="3"/>
    <x v="4"/>
    <x v="3"/>
    <n v="1"/>
    <n v="30000"/>
    <n v="30000"/>
    <x v="1"/>
  </r>
  <r>
    <s v="2024-06-15"/>
    <n v="1471"/>
    <x v="2"/>
    <x v="1"/>
    <x v="2"/>
    <n v="2"/>
    <n v="20000"/>
    <n v="40000"/>
    <x v="5"/>
  </r>
  <r>
    <s v="2024-01-02"/>
    <n v="1472"/>
    <x v="2"/>
    <x v="5"/>
    <x v="5"/>
    <n v="2"/>
    <n v="50000"/>
    <n v="100000"/>
    <x v="3"/>
  </r>
  <r>
    <s v="2024-01-26"/>
    <n v="1473"/>
    <x v="3"/>
    <x v="4"/>
    <x v="4"/>
    <n v="1"/>
    <n v="4000"/>
    <n v="4000"/>
    <x v="3"/>
  </r>
  <r>
    <s v="2024-02-29"/>
    <n v="1474"/>
    <x v="2"/>
    <x v="5"/>
    <x v="3"/>
    <n v="5"/>
    <n v="30000"/>
    <n v="150000"/>
    <x v="1"/>
  </r>
  <r>
    <s v="2024-05-30"/>
    <n v="1475"/>
    <x v="0"/>
    <x v="2"/>
    <x v="1"/>
    <n v="2"/>
    <n v="2000"/>
    <n v="4000"/>
    <x v="0"/>
  </r>
  <r>
    <s v="2024-05-20"/>
    <n v="1476"/>
    <x v="1"/>
    <x v="4"/>
    <x v="2"/>
    <n v="5"/>
    <n v="20000"/>
    <n v="100000"/>
    <x v="0"/>
  </r>
  <r>
    <s v="2024-03-16"/>
    <n v="1477"/>
    <x v="0"/>
    <x v="5"/>
    <x v="0"/>
    <n v="5"/>
    <n v="15000"/>
    <n v="75000"/>
    <x v="2"/>
  </r>
  <r>
    <s v="2024-01-24"/>
    <n v="1478"/>
    <x v="3"/>
    <x v="3"/>
    <x v="0"/>
    <n v="2"/>
    <n v="15000"/>
    <n v="30000"/>
    <x v="3"/>
  </r>
  <r>
    <s v="2024-06-09"/>
    <n v="1479"/>
    <x v="2"/>
    <x v="5"/>
    <x v="1"/>
    <n v="3"/>
    <n v="2000"/>
    <n v="6000"/>
    <x v="5"/>
  </r>
  <r>
    <s v="2024-02-16"/>
    <n v="1480"/>
    <x v="0"/>
    <x v="4"/>
    <x v="1"/>
    <n v="2"/>
    <n v="2000"/>
    <n v="4000"/>
    <x v="1"/>
  </r>
  <r>
    <s v="2024-01-30"/>
    <n v="1481"/>
    <x v="3"/>
    <x v="2"/>
    <x v="1"/>
    <n v="1"/>
    <n v="2000"/>
    <n v="2000"/>
    <x v="3"/>
  </r>
  <r>
    <s v="2024-02-16"/>
    <n v="1482"/>
    <x v="0"/>
    <x v="1"/>
    <x v="2"/>
    <n v="5"/>
    <n v="20000"/>
    <n v="100000"/>
    <x v="1"/>
  </r>
  <r>
    <s v="2024-05-19"/>
    <n v="1483"/>
    <x v="0"/>
    <x v="2"/>
    <x v="2"/>
    <n v="1"/>
    <n v="20000"/>
    <n v="20000"/>
    <x v="0"/>
  </r>
  <r>
    <s v="2024-04-24"/>
    <n v="1484"/>
    <x v="2"/>
    <x v="4"/>
    <x v="3"/>
    <n v="3"/>
    <n v="30000"/>
    <n v="90000"/>
    <x v="4"/>
  </r>
  <r>
    <s v="2024-02-10"/>
    <n v="1485"/>
    <x v="2"/>
    <x v="1"/>
    <x v="2"/>
    <n v="5"/>
    <n v="20000"/>
    <n v="100000"/>
    <x v="1"/>
  </r>
  <r>
    <s v="2024-04-30"/>
    <n v="1486"/>
    <x v="2"/>
    <x v="0"/>
    <x v="5"/>
    <n v="3"/>
    <n v="50000"/>
    <n v="150000"/>
    <x v="4"/>
  </r>
  <r>
    <s v="2024-05-26"/>
    <n v="1487"/>
    <x v="1"/>
    <x v="0"/>
    <x v="2"/>
    <n v="1"/>
    <n v="20000"/>
    <n v="20000"/>
    <x v="0"/>
  </r>
  <r>
    <s v="2024-03-18"/>
    <n v="1488"/>
    <x v="1"/>
    <x v="5"/>
    <x v="0"/>
    <n v="4"/>
    <n v="15000"/>
    <n v="60000"/>
    <x v="2"/>
  </r>
  <r>
    <s v="2024-06-10"/>
    <n v="1489"/>
    <x v="2"/>
    <x v="3"/>
    <x v="3"/>
    <n v="4"/>
    <n v="30000"/>
    <n v="120000"/>
    <x v="5"/>
  </r>
  <r>
    <s v="2024-04-14"/>
    <n v="1490"/>
    <x v="2"/>
    <x v="3"/>
    <x v="2"/>
    <n v="3"/>
    <n v="20000"/>
    <n v="60000"/>
    <x v="4"/>
  </r>
  <r>
    <s v="2024-05-17"/>
    <n v="1491"/>
    <x v="2"/>
    <x v="4"/>
    <x v="2"/>
    <n v="1"/>
    <n v="20000"/>
    <n v="20000"/>
    <x v="0"/>
  </r>
  <r>
    <s v="2024-06-01"/>
    <n v="1492"/>
    <x v="2"/>
    <x v="3"/>
    <x v="4"/>
    <n v="1"/>
    <n v="4000"/>
    <n v="4000"/>
    <x v="5"/>
  </r>
  <r>
    <s v="2024-05-20"/>
    <n v="1493"/>
    <x v="2"/>
    <x v="5"/>
    <x v="0"/>
    <n v="1"/>
    <n v="15000"/>
    <n v="15000"/>
    <x v="0"/>
  </r>
  <r>
    <s v="2024-06-22"/>
    <n v="1494"/>
    <x v="2"/>
    <x v="1"/>
    <x v="4"/>
    <n v="3"/>
    <n v="4000"/>
    <n v="12000"/>
    <x v="5"/>
  </r>
  <r>
    <s v="2024-04-22"/>
    <n v="1495"/>
    <x v="0"/>
    <x v="4"/>
    <x v="0"/>
    <n v="5"/>
    <n v="15000"/>
    <n v="75000"/>
    <x v="4"/>
  </r>
  <r>
    <s v="2024-04-11"/>
    <n v="1496"/>
    <x v="3"/>
    <x v="2"/>
    <x v="1"/>
    <n v="5"/>
    <n v="2000"/>
    <n v="10000"/>
    <x v="4"/>
  </r>
  <r>
    <s v="2024-04-24"/>
    <n v="1497"/>
    <x v="1"/>
    <x v="4"/>
    <x v="4"/>
    <n v="3"/>
    <n v="4000"/>
    <n v="12000"/>
    <x v="4"/>
  </r>
  <r>
    <s v="2024-01-09"/>
    <n v="1498"/>
    <x v="1"/>
    <x v="4"/>
    <x v="0"/>
    <n v="1"/>
    <n v="15000"/>
    <n v="15000"/>
    <x v="3"/>
  </r>
  <r>
    <s v="2024-03-28"/>
    <n v="1499"/>
    <x v="0"/>
    <x v="3"/>
    <x v="3"/>
    <n v="5"/>
    <n v="30000"/>
    <n v="150000"/>
    <x v="2"/>
  </r>
  <r>
    <s v="2024-01-18"/>
    <n v="1500"/>
    <x v="1"/>
    <x v="3"/>
    <x v="5"/>
    <n v="5"/>
    <n v="50000"/>
    <n v="250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A0786A-BD83-419A-BFEE-77F63DFB57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1:B6" firstHeaderRow="1" firstDataRow="1" firstDataCol="1"/>
  <pivotFields count="9">
    <pivotField showAll="0"/>
    <pivotField showAll="0"/>
    <pivotField axis="axisRow" showAll="0">
      <items count="5">
        <item x="1"/>
        <item x="3"/>
        <item x="2"/>
        <item x="0"/>
        <item t="default"/>
      </items>
    </pivotField>
    <pivotField showAll="0">
      <items count="7">
        <item x="1"/>
        <item x="5"/>
        <item x="2"/>
        <item x="0"/>
        <item x="4"/>
        <item x="3"/>
        <item t="default"/>
      </items>
    </pivotField>
    <pivotField showAll="0">
      <items count="7">
        <item x="4"/>
        <item x="1"/>
        <item x="5"/>
        <item x="0"/>
        <item x="2"/>
        <item x="3"/>
        <item t="default"/>
      </items>
    </pivotField>
    <pivotField showAll="0"/>
    <pivotField showAll="0"/>
    <pivotField dataField="1" showAll="0"/>
    <pivotField showAll="0">
      <items count="7">
        <item x="3"/>
        <item x="1"/>
        <item x="2"/>
        <item x="4"/>
        <item x="0"/>
        <item x="5"/>
        <item t="default"/>
      </items>
    </pivotField>
  </pivotFields>
  <rowFields count="1">
    <field x="2"/>
  </rowFields>
  <rowItems count="5">
    <i>
      <x/>
    </i>
    <i>
      <x v="1"/>
    </i>
    <i>
      <x v="2"/>
    </i>
    <i>
      <x v="3"/>
    </i>
    <i t="grand">
      <x/>
    </i>
  </rowItems>
  <colItems count="1">
    <i/>
  </colItems>
  <dataFields count="1">
    <dataField name="Sum of Revenue" fld="7" baseField="0" baseItem="0"/>
  </dataFields>
  <chartFormats count="1">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189057-7987-448A-B67F-76219C45C1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8" firstHeaderRow="1" firstDataRow="1" firstDataCol="1"/>
  <pivotFields count="9">
    <pivotField showAll="0"/>
    <pivotField showAll="0"/>
    <pivotField showAll="0">
      <items count="5">
        <item x="1"/>
        <item x="3"/>
        <item x="2"/>
        <item x="0"/>
        <item t="default"/>
      </items>
    </pivotField>
    <pivotField showAll="0">
      <items count="7">
        <item x="1"/>
        <item x="5"/>
        <item x="2"/>
        <item x="0"/>
        <item x="4"/>
        <item x="3"/>
        <item t="default"/>
      </items>
    </pivotField>
    <pivotField axis="axisRow" showAll="0" sortType="descending">
      <items count="7">
        <item x="4"/>
        <item x="1"/>
        <item x="5"/>
        <item x="0"/>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x="3"/>
        <item x="1"/>
        <item x="2"/>
        <item x="4"/>
        <item x="0"/>
        <item x="5"/>
        <item t="default"/>
      </items>
    </pivotField>
  </pivotFields>
  <rowFields count="1">
    <field x="4"/>
  </rowFields>
  <rowItems count="7">
    <i>
      <x v="2"/>
    </i>
    <i>
      <x v="5"/>
    </i>
    <i>
      <x v="4"/>
    </i>
    <i>
      <x v="3"/>
    </i>
    <i>
      <x/>
    </i>
    <i>
      <x v="1"/>
    </i>
    <i t="grand">
      <x/>
    </i>
  </rowItems>
  <colItems count="1">
    <i/>
  </colItems>
  <dataFields count="1">
    <dataField name="Sum of Revenue"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AC6562-156C-4913-A00A-855B333F77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B8" firstHeaderRow="1" firstDataRow="1" firstDataCol="1"/>
  <pivotFields count="9">
    <pivotField showAll="0"/>
    <pivotField showAll="0"/>
    <pivotField showAll="0">
      <items count="5">
        <item x="1"/>
        <item x="3"/>
        <item x="2"/>
        <item x="0"/>
        <item t="default"/>
      </items>
    </pivotField>
    <pivotField showAll="0">
      <items count="7">
        <item x="1"/>
        <item x="5"/>
        <item x="2"/>
        <item x="0"/>
        <item x="4"/>
        <item x="3"/>
        <item t="default"/>
      </items>
    </pivotField>
    <pivotField showAll="0">
      <items count="7">
        <item x="4"/>
        <item x="1"/>
        <item x="5"/>
        <item x="0"/>
        <item x="2"/>
        <item x="3"/>
        <item t="default"/>
      </items>
    </pivotField>
    <pivotField showAll="0"/>
    <pivotField showAll="0"/>
    <pivotField dataField="1" showAll="0"/>
    <pivotField axis="axisRow" showAll="0">
      <items count="7">
        <item x="3"/>
        <item x="1"/>
        <item x="2"/>
        <item x="4"/>
        <item x="0"/>
        <item x="5"/>
        <item t="default"/>
      </items>
    </pivotField>
  </pivotFields>
  <rowFields count="1">
    <field x="8"/>
  </rowFields>
  <rowItems count="7">
    <i>
      <x/>
    </i>
    <i>
      <x v="1"/>
    </i>
    <i>
      <x v="2"/>
    </i>
    <i>
      <x v="3"/>
    </i>
    <i>
      <x v="4"/>
    </i>
    <i>
      <x v="5"/>
    </i>
    <i t="grand">
      <x/>
    </i>
  </rowItems>
  <colItems count="1">
    <i/>
  </colItems>
  <dataFields count="1">
    <dataField name="Sum of Revenue" fld="7" baseField="0"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ED4AAD-0035-43DB-B06E-431AEB18668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8" firstHeaderRow="1" firstDataRow="1" firstDataCol="1"/>
  <pivotFields count="9">
    <pivotField showAll="0"/>
    <pivotField showAll="0"/>
    <pivotField showAll="0">
      <items count="5">
        <item x="1"/>
        <item x="3"/>
        <item x="2"/>
        <item x="0"/>
        <item t="default"/>
      </items>
    </pivotField>
    <pivotField axis="axisRow" showAll="0">
      <items count="7">
        <item x="1"/>
        <item x="5"/>
        <item x="2"/>
        <item x="0"/>
        <item x="4"/>
        <item x="3"/>
        <item t="default"/>
      </items>
    </pivotField>
    <pivotField showAll="0">
      <items count="7">
        <item x="4"/>
        <item x="1"/>
        <item x="5"/>
        <item x="0"/>
        <item x="2"/>
        <item x="3"/>
        <item t="default"/>
      </items>
    </pivotField>
    <pivotField showAll="0"/>
    <pivotField showAll="0"/>
    <pivotField dataField="1" showAll="0"/>
    <pivotField showAll="0">
      <items count="7">
        <item x="3"/>
        <item x="1"/>
        <item x="2"/>
        <item x="4"/>
        <item x="0"/>
        <item x="5"/>
        <item t="default"/>
      </items>
    </pivotField>
  </pivotFields>
  <rowFields count="1">
    <field x="3"/>
  </rowFields>
  <rowItems count="7">
    <i>
      <x/>
    </i>
    <i>
      <x v="1"/>
    </i>
    <i>
      <x v="2"/>
    </i>
    <i>
      <x v="3"/>
    </i>
    <i>
      <x v="4"/>
    </i>
    <i>
      <x v="5"/>
    </i>
    <i t="grand">
      <x/>
    </i>
  </rowItems>
  <colItems count="1">
    <i/>
  </colItems>
  <dataFields count="1">
    <dataField name="Sum of Revenue" fld="7" baseField="0" baseItem="0"/>
  </dataFields>
  <formats count="2">
    <format dxfId="2">
      <pivotArea outline="0" collapsedLevelsAreSubtotals="1" fieldPosition="0"/>
    </format>
    <format dxfId="1">
      <pivotArea dataOnly="0" labelOnly="1" outline="0" axis="axisValues" fieldPosition="0"/>
    </format>
  </format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791E21C-7B6E-4628-82B6-2161CB65E053}" sourceName="Product">
  <pivotTables>
    <pivotTable tabId="2" name="PivotTable1"/>
    <pivotTable tabId="5" name="PivotTable3"/>
    <pivotTable tabId="4" name="PivotTable2"/>
    <pivotTable tabId="6" name="PivotTable4"/>
  </pivotTables>
  <data>
    <tabular pivotCacheId="1917211032">
      <items count="6">
        <i x="4" s="1"/>
        <i x="1" s="1"/>
        <i x="5"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2880ADB-5D1D-4285-8A9B-650FCE2EB8C3}" sourceName="Month">
  <pivotTables>
    <pivotTable tabId="2" name="PivotTable1"/>
    <pivotTable tabId="5" name="PivotTable3"/>
    <pivotTable tabId="4" name="PivotTable2"/>
    <pivotTable tabId="6" name="PivotTable4"/>
  </pivotTables>
  <data>
    <tabular pivotCacheId="1917211032">
      <items count="6">
        <i x="3" s="1"/>
        <i x="1" s="1"/>
        <i x="2" s="1"/>
        <i x="4"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D08B08E3-8CA4-4A6C-BC15-5412DACA005F}" sourceName="Salesperson">
  <pivotTables>
    <pivotTable tabId="2" name="PivotTable1"/>
    <pivotTable tabId="5" name="PivotTable3"/>
    <pivotTable tabId="4" name="PivotTable2"/>
    <pivotTable tabId="6" name="PivotTable4"/>
  </pivotTables>
  <data>
    <tabular pivotCacheId="1917211032">
      <items count="6">
        <i x="1" s="1"/>
        <i x="5" s="1"/>
        <i x="2" s="1"/>
        <i x="0"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36546F-F1A0-493D-BC52-AA2CA0B812BD}" sourceName="Region">
  <pivotTables>
    <pivotTable tabId="2" name="PivotTable1"/>
    <pivotTable tabId="5" name="PivotTable3"/>
    <pivotTable tabId="4" name="PivotTable2"/>
    <pivotTable tabId="6" name="PivotTable4"/>
  </pivotTables>
  <data>
    <tabular pivotCacheId="1917211032">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31A6287-F9B0-4F7E-8A46-28A71544AF03}" cache="Slicer_Product" caption="Product" columnCount="2" rowHeight="241300"/>
  <slicer name="Month" xr10:uid="{8FCE738F-77BE-440F-AD4F-8151EBA58FA1}" cache="Slicer_Month" caption="Month" columnCount="2" rowHeight="216000"/>
  <slicer name="Salesperson" xr10:uid="{FFF6DA0C-ED07-4DBE-B44C-2FF1192F58FD}" cache="Slicer_Salesperson" caption="Salesperson" columnCount="2" rowHeight="241300"/>
  <slicer name="Region" xr10:uid="{6F39A303-83EB-427E-BB05-FA9295CBD6DF}" cache="Slicer_Region" caption="Region"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CFEDB1-08A4-409B-A030-BD0560C1E458}" name="SalesData" displayName="SalesData" ref="A1:I501" totalsRowShown="0">
  <autoFilter ref="A1:I501" xr:uid="{59CFEDB1-08A4-409B-A030-BD0560C1E458}"/>
  <tableColumns count="9">
    <tableColumn id="1" xr3:uid="{0334384A-8CF3-4A88-B3C1-1519008B734C}" name="Date"/>
    <tableColumn id="2" xr3:uid="{D22A3481-C7F9-4EE5-AB66-47E8B091F6F4}" name="Order_ID"/>
    <tableColumn id="3" xr3:uid="{C187F453-56BA-4B19-B1CB-62BFE8680368}" name="Region"/>
    <tableColumn id="4" xr3:uid="{B79985F9-E959-44A8-95C4-DB2C0B11418D}" name="Salesperson"/>
    <tableColumn id="5" xr3:uid="{403A0830-829E-4AAC-857D-3CA04CE4B866}" name="Product"/>
    <tableColumn id="6" xr3:uid="{4FF530BC-D61F-4EE8-B0D9-BC25CE39DE2D}" name="Quantity"/>
    <tableColumn id="7" xr3:uid="{92DCA47F-E979-4360-923D-519611B3DD24}" name="Unit_Price"/>
    <tableColumn id="8" xr3:uid="{80F4D3A3-C668-452C-A19B-0859AE89AFA1}" name="Revenue"/>
    <tableColumn id="9" xr3:uid="{0C29EE1F-88DD-42EF-B34E-7FBBC9E15A33}" name="Month" dataDxfId="3">
      <calculatedColumnFormula>TEXT(A2,"mmm")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zoomScale="160" zoomScaleNormal="160" workbookViewId="0">
      <selection activeCell="A2" sqref="A2"/>
    </sheetView>
  </sheetViews>
  <sheetFormatPr defaultRowHeight="14.5" x14ac:dyDescent="0.35"/>
  <cols>
    <col min="1" max="1" width="10.1796875" bestFit="1" customWidth="1"/>
    <col min="2" max="2" width="10.81640625" bestFit="1" customWidth="1"/>
    <col min="4" max="4" width="13.08984375" bestFit="1" customWidth="1"/>
    <col min="5" max="5" width="11.36328125" bestFit="1" customWidth="1"/>
    <col min="6" max="6" width="10.453125" bestFit="1" customWidth="1"/>
    <col min="7" max="7" width="11.7265625" bestFit="1" customWidth="1"/>
    <col min="8" max="8" width="10.26953125" bestFit="1" customWidth="1"/>
    <col min="9" max="9" width="8.81640625" customWidth="1"/>
  </cols>
  <sheetData>
    <row r="1" spans="1:9" x14ac:dyDescent="0.35">
      <c r="A1" t="s">
        <v>0</v>
      </c>
      <c r="B1" t="s">
        <v>1</v>
      </c>
      <c r="C1" t="s">
        <v>2</v>
      </c>
      <c r="D1" t="s">
        <v>3</v>
      </c>
      <c r="E1" t="s">
        <v>4</v>
      </c>
      <c r="F1" t="s">
        <v>5</v>
      </c>
      <c r="G1" t="s">
        <v>6</v>
      </c>
      <c r="H1" t="s">
        <v>7</v>
      </c>
      <c r="I1" t="s">
        <v>195</v>
      </c>
    </row>
    <row r="2" spans="1:9" x14ac:dyDescent="0.35">
      <c r="A2" t="s">
        <v>8</v>
      </c>
      <c r="B2">
        <v>1001</v>
      </c>
      <c r="C2" t="s">
        <v>9</v>
      </c>
      <c r="D2" t="s">
        <v>10</v>
      </c>
      <c r="E2" t="s">
        <v>11</v>
      </c>
      <c r="F2">
        <v>3</v>
      </c>
      <c r="G2">
        <v>15000</v>
      </c>
      <c r="H2">
        <v>45000</v>
      </c>
      <c r="I2" t="str">
        <f t="shared" ref="I2:I65" si="0">TEXT(A2,"mmm")</f>
        <v>May</v>
      </c>
    </row>
    <row r="3" spans="1:9" x14ac:dyDescent="0.35">
      <c r="A3" t="s">
        <v>12</v>
      </c>
      <c r="B3">
        <v>1002</v>
      </c>
      <c r="C3" t="s">
        <v>13</v>
      </c>
      <c r="D3" t="s">
        <v>14</v>
      </c>
      <c r="E3" t="s">
        <v>15</v>
      </c>
      <c r="F3">
        <v>4</v>
      </c>
      <c r="G3">
        <v>2000</v>
      </c>
      <c r="H3">
        <v>8000</v>
      </c>
      <c r="I3" t="str">
        <f t="shared" si="0"/>
        <v>Feb</v>
      </c>
    </row>
    <row r="4" spans="1:9" x14ac:dyDescent="0.35">
      <c r="A4" t="s">
        <v>16</v>
      </c>
      <c r="B4">
        <v>1003</v>
      </c>
      <c r="C4" t="s">
        <v>17</v>
      </c>
      <c r="D4" t="s">
        <v>18</v>
      </c>
      <c r="E4" t="s">
        <v>15</v>
      </c>
      <c r="F4">
        <v>3</v>
      </c>
      <c r="G4">
        <v>2000</v>
      </c>
      <c r="H4">
        <v>6000</v>
      </c>
      <c r="I4" t="str">
        <f t="shared" si="0"/>
        <v>Mar</v>
      </c>
    </row>
    <row r="5" spans="1:9" x14ac:dyDescent="0.35">
      <c r="A5" t="s">
        <v>19</v>
      </c>
      <c r="B5">
        <v>1004</v>
      </c>
      <c r="C5" t="s">
        <v>20</v>
      </c>
      <c r="D5" t="s">
        <v>21</v>
      </c>
      <c r="E5" t="s">
        <v>15</v>
      </c>
      <c r="F5">
        <v>1</v>
      </c>
      <c r="G5">
        <v>2000</v>
      </c>
      <c r="H5">
        <v>2000</v>
      </c>
      <c r="I5" t="str">
        <f t="shared" si="0"/>
        <v>Jan</v>
      </c>
    </row>
    <row r="6" spans="1:9" x14ac:dyDescent="0.35">
      <c r="A6" t="s">
        <v>22</v>
      </c>
      <c r="B6">
        <v>1005</v>
      </c>
      <c r="C6" t="s">
        <v>20</v>
      </c>
      <c r="D6" t="s">
        <v>18</v>
      </c>
      <c r="E6" t="s">
        <v>15</v>
      </c>
      <c r="F6">
        <v>3</v>
      </c>
      <c r="G6">
        <v>2000</v>
      </c>
      <c r="H6">
        <v>6000</v>
      </c>
      <c r="I6" t="str">
        <f t="shared" si="0"/>
        <v>Feb</v>
      </c>
    </row>
    <row r="7" spans="1:9" x14ac:dyDescent="0.35">
      <c r="A7" t="s">
        <v>23</v>
      </c>
      <c r="B7">
        <v>1006</v>
      </c>
      <c r="C7" t="s">
        <v>13</v>
      </c>
      <c r="D7" t="s">
        <v>18</v>
      </c>
      <c r="E7" t="s">
        <v>24</v>
      </c>
      <c r="F7">
        <v>2</v>
      </c>
      <c r="G7">
        <v>20000</v>
      </c>
      <c r="H7">
        <v>40000</v>
      </c>
      <c r="I7" t="str">
        <f t="shared" si="0"/>
        <v>Mar</v>
      </c>
    </row>
    <row r="8" spans="1:9" x14ac:dyDescent="0.35">
      <c r="A8" t="s">
        <v>25</v>
      </c>
      <c r="B8">
        <v>1007</v>
      </c>
      <c r="C8" t="s">
        <v>9</v>
      </c>
      <c r="D8" t="s">
        <v>21</v>
      </c>
      <c r="E8" t="s">
        <v>15</v>
      </c>
      <c r="F8">
        <v>3</v>
      </c>
      <c r="G8">
        <v>2000</v>
      </c>
      <c r="H8">
        <v>6000</v>
      </c>
      <c r="I8" t="str">
        <f t="shared" si="0"/>
        <v>Jan</v>
      </c>
    </row>
    <row r="9" spans="1:9" x14ac:dyDescent="0.35">
      <c r="A9" t="s">
        <v>26</v>
      </c>
      <c r="B9">
        <v>1008</v>
      </c>
      <c r="C9" t="s">
        <v>17</v>
      </c>
      <c r="D9" t="s">
        <v>10</v>
      </c>
      <c r="E9" t="s">
        <v>27</v>
      </c>
      <c r="F9">
        <v>5</v>
      </c>
      <c r="G9">
        <v>30000</v>
      </c>
      <c r="H9">
        <v>150000</v>
      </c>
      <c r="I9" t="str">
        <f t="shared" si="0"/>
        <v>Apr</v>
      </c>
    </row>
    <row r="10" spans="1:9" x14ac:dyDescent="0.35">
      <c r="A10" t="s">
        <v>28</v>
      </c>
      <c r="B10">
        <v>1009</v>
      </c>
      <c r="C10" t="s">
        <v>17</v>
      </c>
      <c r="D10" t="s">
        <v>10</v>
      </c>
      <c r="E10" t="s">
        <v>29</v>
      </c>
      <c r="F10">
        <v>2</v>
      </c>
      <c r="G10">
        <v>4000</v>
      </c>
      <c r="H10">
        <v>8000</v>
      </c>
      <c r="I10" t="str">
        <f t="shared" si="0"/>
        <v>Feb</v>
      </c>
    </row>
    <row r="11" spans="1:9" x14ac:dyDescent="0.35">
      <c r="A11" t="s">
        <v>30</v>
      </c>
      <c r="B11">
        <v>1010</v>
      </c>
      <c r="C11" t="s">
        <v>9</v>
      </c>
      <c r="D11" t="s">
        <v>31</v>
      </c>
      <c r="E11" t="s">
        <v>11</v>
      </c>
      <c r="F11">
        <v>2</v>
      </c>
      <c r="G11">
        <v>15000</v>
      </c>
      <c r="H11">
        <v>30000</v>
      </c>
      <c r="I11" t="str">
        <f t="shared" si="0"/>
        <v>Mar</v>
      </c>
    </row>
    <row r="12" spans="1:9" x14ac:dyDescent="0.35">
      <c r="A12" t="s">
        <v>32</v>
      </c>
      <c r="B12">
        <v>1011</v>
      </c>
      <c r="C12" t="s">
        <v>13</v>
      </c>
      <c r="D12" t="s">
        <v>31</v>
      </c>
      <c r="E12" t="s">
        <v>11</v>
      </c>
      <c r="F12">
        <v>1</v>
      </c>
      <c r="G12">
        <v>15000</v>
      </c>
      <c r="H12">
        <v>15000</v>
      </c>
      <c r="I12" t="str">
        <f t="shared" si="0"/>
        <v>May</v>
      </c>
    </row>
    <row r="13" spans="1:9" x14ac:dyDescent="0.35">
      <c r="A13" t="s">
        <v>33</v>
      </c>
      <c r="B13">
        <v>1012</v>
      </c>
      <c r="C13" t="s">
        <v>9</v>
      </c>
      <c r="D13" t="s">
        <v>34</v>
      </c>
      <c r="E13" t="s">
        <v>11</v>
      </c>
      <c r="F13">
        <v>2</v>
      </c>
      <c r="G13">
        <v>15000</v>
      </c>
      <c r="H13">
        <v>30000</v>
      </c>
      <c r="I13" t="str">
        <f t="shared" si="0"/>
        <v>Apr</v>
      </c>
    </row>
    <row r="14" spans="1:9" x14ac:dyDescent="0.35">
      <c r="A14" t="s">
        <v>33</v>
      </c>
      <c r="B14">
        <v>1013</v>
      </c>
      <c r="C14" t="s">
        <v>20</v>
      </c>
      <c r="D14" t="s">
        <v>31</v>
      </c>
      <c r="E14" t="s">
        <v>24</v>
      </c>
      <c r="F14">
        <v>5</v>
      </c>
      <c r="G14">
        <v>20000</v>
      </c>
      <c r="H14">
        <v>100000</v>
      </c>
      <c r="I14" t="str">
        <f t="shared" si="0"/>
        <v>Apr</v>
      </c>
    </row>
    <row r="15" spans="1:9" x14ac:dyDescent="0.35">
      <c r="A15" t="s">
        <v>35</v>
      </c>
      <c r="B15">
        <v>1014</v>
      </c>
      <c r="C15" t="s">
        <v>13</v>
      </c>
      <c r="D15" t="s">
        <v>10</v>
      </c>
      <c r="E15" t="s">
        <v>24</v>
      </c>
      <c r="F15">
        <v>4</v>
      </c>
      <c r="G15">
        <v>20000</v>
      </c>
      <c r="H15">
        <v>80000</v>
      </c>
      <c r="I15" t="str">
        <f t="shared" si="0"/>
        <v>May</v>
      </c>
    </row>
    <row r="16" spans="1:9" x14ac:dyDescent="0.35">
      <c r="A16" t="s">
        <v>36</v>
      </c>
      <c r="B16">
        <v>1015</v>
      </c>
      <c r="C16" t="s">
        <v>13</v>
      </c>
      <c r="D16" t="s">
        <v>34</v>
      </c>
      <c r="E16" t="s">
        <v>24</v>
      </c>
      <c r="F16">
        <v>5</v>
      </c>
      <c r="G16">
        <v>20000</v>
      </c>
      <c r="H16">
        <v>100000</v>
      </c>
      <c r="I16" t="str">
        <f t="shared" si="0"/>
        <v>Feb</v>
      </c>
    </row>
    <row r="17" spans="1:9" x14ac:dyDescent="0.35">
      <c r="A17" t="s">
        <v>37</v>
      </c>
      <c r="B17">
        <v>1016</v>
      </c>
      <c r="C17" t="s">
        <v>9</v>
      </c>
      <c r="D17" t="s">
        <v>18</v>
      </c>
      <c r="E17" t="s">
        <v>24</v>
      </c>
      <c r="F17">
        <v>4</v>
      </c>
      <c r="G17">
        <v>20000</v>
      </c>
      <c r="H17">
        <v>80000</v>
      </c>
      <c r="I17" t="str">
        <f t="shared" si="0"/>
        <v>Jan</v>
      </c>
    </row>
    <row r="18" spans="1:9" x14ac:dyDescent="0.35">
      <c r="A18" t="s">
        <v>19</v>
      </c>
      <c r="B18">
        <v>1017</v>
      </c>
      <c r="C18" t="s">
        <v>17</v>
      </c>
      <c r="D18" t="s">
        <v>14</v>
      </c>
      <c r="E18" t="s">
        <v>11</v>
      </c>
      <c r="F18">
        <v>4</v>
      </c>
      <c r="G18">
        <v>15000</v>
      </c>
      <c r="H18">
        <v>60000</v>
      </c>
      <c r="I18" t="str">
        <f t="shared" si="0"/>
        <v>Jan</v>
      </c>
    </row>
    <row r="19" spans="1:9" x14ac:dyDescent="0.35">
      <c r="A19" t="s">
        <v>25</v>
      </c>
      <c r="B19">
        <v>1018</v>
      </c>
      <c r="C19" t="s">
        <v>20</v>
      </c>
      <c r="D19" t="s">
        <v>10</v>
      </c>
      <c r="E19" t="s">
        <v>11</v>
      </c>
      <c r="F19">
        <v>3</v>
      </c>
      <c r="G19">
        <v>15000</v>
      </c>
      <c r="H19">
        <v>45000</v>
      </c>
      <c r="I19" t="str">
        <f t="shared" si="0"/>
        <v>Jan</v>
      </c>
    </row>
    <row r="20" spans="1:9" x14ac:dyDescent="0.35">
      <c r="A20" t="s">
        <v>38</v>
      </c>
      <c r="B20">
        <v>1019</v>
      </c>
      <c r="C20" t="s">
        <v>20</v>
      </c>
      <c r="D20" t="s">
        <v>21</v>
      </c>
      <c r="E20" t="s">
        <v>27</v>
      </c>
      <c r="F20">
        <v>4</v>
      </c>
      <c r="G20">
        <v>30000</v>
      </c>
      <c r="H20">
        <v>120000</v>
      </c>
      <c r="I20" t="str">
        <f t="shared" si="0"/>
        <v>Jun</v>
      </c>
    </row>
    <row r="21" spans="1:9" x14ac:dyDescent="0.35">
      <c r="A21" t="s">
        <v>39</v>
      </c>
      <c r="B21">
        <v>1020</v>
      </c>
      <c r="C21" t="s">
        <v>13</v>
      </c>
      <c r="D21" t="s">
        <v>10</v>
      </c>
      <c r="E21" t="s">
        <v>29</v>
      </c>
      <c r="F21">
        <v>5</v>
      </c>
      <c r="G21">
        <v>4000</v>
      </c>
      <c r="H21">
        <v>20000</v>
      </c>
      <c r="I21" t="str">
        <f t="shared" si="0"/>
        <v>Apr</v>
      </c>
    </row>
    <row r="22" spans="1:9" x14ac:dyDescent="0.35">
      <c r="A22" t="s">
        <v>40</v>
      </c>
      <c r="B22">
        <v>1021</v>
      </c>
      <c r="C22" t="s">
        <v>20</v>
      </c>
      <c r="D22" t="s">
        <v>14</v>
      </c>
      <c r="E22" t="s">
        <v>24</v>
      </c>
      <c r="F22">
        <v>1</v>
      </c>
      <c r="G22">
        <v>20000</v>
      </c>
      <c r="H22">
        <v>20000</v>
      </c>
      <c r="I22" t="str">
        <f t="shared" si="0"/>
        <v>Apr</v>
      </c>
    </row>
    <row r="23" spans="1:9" x14ac:dyDescent="0.35">
      <c r="A23" t="s">
        <v>41</v>
      </c>
      <c r="B23">
        <v>1022</v>
      </c>
      <c r="C23" t="s">
        <v>9</v>
      </c>
      <c r="D23" t="s">
        <v>21</v>
      </c>
      <c r="E23" t="s">
        <v>27</v>
      </c>
      <c r="F23">
        <v>1</v>
      </c>
      <c r="G23">
        <v>30000</v>
      </c>
      <c r="H23">
        <v>30000</v>
      </c>
      <c r="I23" t="str">
        <f t="shared" si="0"/>
        <v>May</v>
      </c>
    </row>
    <row r="24" spans="1:9" x14ac:dyDescent="0.35">
      <c r="A24" t="s">
        <v>42</v>
      </c>
      <c r="B24">
        <v>1023</v>
      </c>
      <c r="C24" t="s">
        <v>13</v>
      </c>
      <c r="D24" t="s">
        <v>21</v>
      </c>
      <c r="E24" t="s">
        <v>11</v>
      </c>
      <c r="F24">
        <v>5</v>
      </c>
      <c r="G24">
        <v>15000</v>
      </c>
      <c r="H24">
        <v>75000</v>
      </c>
      <c r="I24" t="str">
        <f t="shared" si="0"/>
        <v>Jan</v>
      </c>
    </row>
    <row r="25" spans="1:9" x14ac:dyDescent="0.35">
      <c r="A25" t="s">
        <v>43</v>
      </c>
      <c r="B25">
        <v>1024</v>
      </c>
      <c r="C25" t="s">
        <v>9</v>
      </c>
      <c r="D25" t="s">
        <v>31</v>
      </c>
      <c r="E25" t="s">
        <v>24</v>
      </c>
      <c r="F25">
        <v>2</v>
      </c>
      <c r="G25">
        <v>20000</v>
      </c>
      <c r="H25">
        <v>40000</v>
      </c>
      <c r="I25" t="str">
        <f t="shared" si="0"/>
        <v>Apr</v>
      </c>
    </row>
    <row r="26" spans="1:9" x14ac:dyDescent="0.35">
      <c r="A26" t="s">
        <v>36</v>
      </c>
      <c r="B26">
        <v>1025</v>
      </c>
      <c r="C26" t="s">
        <v>13</v>
      </c>
      <c r="D26" t="s">
        <v>31</v>
      </c>
      <c r="E26" t="s">
        <v>44</v>
      </c>
      <c r="F26">
        <v>1</v>
      </c>
      <c r="G26">
        <v>50000</v>
      </c>
      <c r="H26">
        <v>50000</v>
      </c>
      <c r="I26" t="str">
        <f t="shared" si="0"/>
        <v>Feb</v>
      </c>
    </row>
    <row r="27" spans="1:9" x14ac:dyDescent="0.35">
      <c r="A27" t="s">
        <v>45</v>
      </c>
      <c r="B27">
        <v>1026</v>
      </c>
      <c r="C27" t="s">
        <v>20</v>
      </c>
      <c r="D27" t="s">
        <v>31</v>
      </c>
      <c r="E27" t="s">
        <v>11</v>
      </c>
      <c r="F27">
        <v>1</v>
      </c>
      <c r="G27">
        <v>15000</v>
      </c>
      <c r="H27">
        <v>15000</v>
      </c>
      <c r="I27" t="str">
        <f t="shared" si="0"/>
        <v>Feb</v>
      </c>
    </row>
    <row r="28" spans="1:9" x14ac:dyDescent="0.35">
      <c r="A28" t="s">
        <v>46</v>
      </c>
      <c r="B28">
        <v>1027</v>
      </c>
      <c r="C28" t="s">
        <v>13</v>
      </c>
      <c r="D28" t="s">
        <v>10</v>
      </c>
      <c r="E28" t="s">
        <v>27</v>
      </c>
      <c r="F28">
        <v>1</v>
      </c>
      <c r="G28">
        <v>30000</v>
      </c>
      <c r="H28">
        <v>30000</v>
      </c>
      <c r="I28" t="str">
        <f t="shared" si="0"/>
        <v>Apr</v>
      </c>
    </row>
    <row r="29" spans="1:9" x14ac:dyDescent="0.35">
      <c r="A29" t="s">
        <v>47</v>
      </c>
      <c r="B29">
        <v>1028</v>
      </c>
      <c r="C29" t="s">
        <v>17</v>
      </c>
      <c r="D29" t="s">
        <v>21</v>
      </c>
      <c r="E29" t="s">
        <v>15</v>
      </c>
      <c r="F29">
        <v>1</v>
      </c>
      <c r="G29">
        <v>2000</v>
      </c>
      <c r="H29">
        <v>2000</v>
      </c>
      <c r="I29" t="str">
        <f t="shared" si="0"/>
        <v>Feb</v>
      </c>
    </row>
    <row r="30" spans="1:9" x14ac:dyDescent="0.35">
      <c r="A30" t="s">
        <v>48</v>
      </c>
      <c r="B30">
        <v>1029</v>
      </c>
      <c r="C30" t="s">
        <v>17</v>
      </c>
      <c r="D30" t="s">
        <v>21</v>
      </c>
      <c r="E30" t="s">
        <v>44</v>
      </c>
      <c r="F30">
        <v>5</v>
      </c>
      <c r="G30">
        <v>50000</v>
      </c>
      <c r="H30">
        <v>250000</v>
      </c>
      <c r="I30" t="str">
        <f t="shared" si="0"/>
        <v>Jan</v>
      </c>
    </row>
    <row r="31" spans="1:9" x14ac:dyDescent="0.35">
      <c r="A31" t="s">
        <v>49</v>
      </c>
      <c r="B31">
        <v>1030</v>
      </c>
      <c r="C31" t="s">
        <v>17</v>
      </c>
      <c r="D31" t="s">
        <v>10</v>
      </c>
      <c r="E31" t="s">
        <v>15</v>
      </c>
      <c r="F31">
        <v>4</v>
      </c>
      <c r="G31">
        <v>2000</v>
      </c>
      <c r="H31">
        <v>8000</v>
      </c>
      <c r="I31" t="str">
        <f t="shared" si="0"/>
        <v>Mar</v>
      </c>
    </row>
    <row r="32" spans="1:9" x14ac:dyDescent="0.35">
      <c r="A32" t="s">
        <v>50</v>
      </c>
      <c r="B32">
        <v>1031</v>
      </c>
      <c r="C32" t="s">
        <v>9</v>
      </c>
      <c r="D32" t="s">
        <v>31</v>
      </c>
      <c r="E32" t="s">
        <v>15</v>
      </c>
      <c r="F32">
        <v>5</v>
      </c>
      <c r="G32">
        <v>2000</v>
      </c>
      <c r="H32">
        <v>10000</v>
      </c>
      <c r="I32" t="str">
        <f t="shared" si="0"/>
        <v>Jan</v>
      </c>
    </row>
    <row r="33" spans="1:9" x14ac:dyDescent="0.35">
      <c r="A33" t="s">
        <v>30</v>
      </c>
      <c r="B33">
        <v>1032</v>
      </c>
      <c r="C33" t="s">
        <v>17</v>
      </c>
      <c r="D33" t="s">
        <v>34</v>
      </c>
      <c r="E33" t="s">
        <v>27</v>
      </c>
      <c r="F33">
        <v>5</v>
      </c>
      <c r="G33">
        <v>30000</v>
      </c>
      <c r="H33">
        <v>150000</v>
      </c>
      <c r="I33" t="str">
        <f t="shared" si="0"/>
        <v>Mar</v>
      </c>
    </row>
    <row r="34" spans="1:9" x14ac:dyDescent="0.35">
      <c r="A34" t="s">
        <v>51</v>
      </c>
      <c r="B34">
        <v>1033</v>
      </c>
      <c r="C34" t="s">
        <v>13</v>
      </c>
      <c r="D34" t="s">
        <v>21</v>
      </c>
      <c r="E34" t="s">
        <v>29</v>
      </c>
      <c r="F34">
        <v>5</v>
      </c>
      <c r="G34">
        <v>4000</v>
      </c>
      <c r="H34">
        <v>20000</v>
      </c>
      <c r="I34" t="str">
        <f t="shared" si="0"/>
        <v>Apr</v>
      </c>
    </row>
    <row r="35" spans="1:9" x14ac:dyDescent="0.35">
      <c r="A35" t="s">
        <v>52</v>
      </c>
      <c r="B35">
        <v>1034</v>
      </c>
      <c r="C35" t="s">
        <v>9</v>
      </c>
      <c r="D35" t="s">
        <v>18</v>
      </c>
      <c r="E35" t="s">
        <v>27</v>
      </c>
      <c r="F35">
        <v>4</v>
      </c>
      <c r="G35">
        <v>30000</v>
      </c>
      <c r="H35">
        <v>120000</v>
      </c>
      <c r="I35" t="str">
        <f t="shared" si="0"/>
        <v>Mar</v>
      </c>
    </row>
    <row r="36" spans="1:9" x14ac:dyDescent="0.35">
      <c r="A36" t="s">
        <v>53</v>
      </c>
      <c r="B36">
        <v>1035</v>
      </c>
      <c r="C36" t="s">
        <v>20</v>
      </c>
      <c r="D36" t="s">
        <v>34</v>
      </c>
      <c r="E36" t="s">
        <v>27</v>
      </c>
      <c r="F36">
        <v>5</v>
      </c>
      <c r="G36">
        <v>30000</v>
      </c>
      <c r="H36">
        <v>150000</v>
      </c>
      <c r="I36" t="str">
        <f t="shared" si="0"/>
        <v>Mar</v>
      </c>
    </row>
    <row r="37" spans="1:9" x14ac:dyDescent="0.35">
      <c r="A37" t="s">
        <v>54</v>
      </c>
      <c r="B37">
        <v>1036</v>
      </c>
      <c r="C37" t="s">
        <v>13</v>
      </c>
      <c r="D37" t="s">
        <v>31</v>
      </c>
      <c r="E37" t="s">
        <v>11</v>
      </c>
      <c r="F37">
        <v>4</v>
      </c>
      <c r="G37">
        <v>15000</v>
      </c>
      <c r="H37">
        <v>60000</v>
      </c>
      <c r="I37" t="str">
        <f t="shared" si="0"/>
        <v>Mar</v>
      </c>
    </row>
    <row r="38" spans="1:9" x14ac:dyDescent="0.35">
      <c r="A38" t="s">
        <v>55</v>
      </c>
      <c r="B38">
        <v>1037</v>
      </c>
      <c r="C38" t="s">
        <v>17</v>
      </c>
      <c r="D38" t="s">
        <v>14</v>
      </c>
      <c r="E38" t="s">
        <v>11</v>
      </c>
      <c r="F38">
        <v>4</v>
      </c>
      <c r="G38">
        <v>15000</v>
      </c>
      <c r="H38">
        <v>60000</v>
      </c>
      <c r="I38" t="str">
        <f t="shared" si="0"/>
        <v>Feb</v>
      </c>
    </row>
    <row r="39" spans="1:9" x14ac:dyDescent="0.35">
      <c r="A39" t="s">
        <v>56</v>
      </c>
      <c r="B39">
        <v>1038</v>
      </c>
      <c r="C39" t="s">
        <v>17</v>
      </c>
      <c r="D39" t="s">
        <v>31</v>
      </c>
      <c r="E39" t="s">
        <v>24</v>
      </c>
      <c r="F39">
        <v>5</v>
      </c>
      <c r="G39">
        <v>20000</v>
      </c>
      <c r="H39">
        <v>100000</v>
      </c>
      <c r="I39" t="str">
        <f t="shared" si="0"/>
        <v>Feb</v>
      </c>
    </row>
    <row r="40" spans="1:9" x14ac:dyDescent="0.35">
      <c r="A40" t="s">
        <v>57</v>
      </c>
      <c r="B40">
        <v>1039</v>
      </c>
      <c r="C40" t="s">
        <v>17</v>
      </c>
      <c r="D40" t="s">
        <v>21</v>
      </c>
      <c r="E40" t="s">
        <v>24</v>
      </c>
      <c r="F40">
        <v>2</v>
      </c>
      <c r="G40">
        <v>20000</v>
      </c>
      <c r="H40">
        <v>40000</v>
      </c>
      <c r="I40" t="str">
        <f t="shared" si="0"/>
        <v>Apr</v>
      </c>
    </row>
    <row r="41" spans="1:9" x14ac:dyDescent="0.35">
      <c r="A41" t="s">
        <v>38</v>
      </c>
      <c r="B41">
        <v>1040</v>
      </c>
      <c r="C41" t="s">
        <v>20</v>
      </c>
      <c r="D41" t="s">
        <v>21</v>
      </c>
      <c r="E41" t="s">
        <v>15</v>
      </c>
      <c r="F41">
        <v>1</v>
      </c>
      <c r="G41">
        <v>2000</v>
      </c>
      <c r="H41">
        <v>2000</v>
      </c>
      <c r="I41" t="str">
        <f t="shared" si="0"/>
        <v>Jun</v>
      </c>
    </row>
    <row r="42" spans="1:9" x14ac:dyDescent="0.35">
      <c r="A42" t="s">
        <v>58</v>
      </c>
      <c r="B42">
        <v>1041</v>
      </c>
      <c r="C42" t="s">
        <v>13</v>
      </c>
      <c r="D42" t="s">
        <v>31</v>
      </c>
      <c r="E42" t="s">
        <v>15</v>
      </c>
      <c r="F42">
        <v>1</v>
      </c>
      <c r="G42">
        <v>2000</v>
      </c>
      <c r="H42">
        <v>2000</v>
      </c>
      <c r="I42" t="str">
        <f t="shared" si="0"/>
        <v>Jun</v>
      </c>
    </row>
    <row r="43" spans="1:9" x14ac:dyDescent="0.35">
      <c r="A43" t="s">
        <v>59</v>
      </c>
      <c r="B43">
        <v>1042</v>
      </c>
      <c r="C43" t="s">
        <v>9</v>
      </c>
      <c r="D43" t="s">
        <v>14</v>
      </c>
      <c r="E43" t="s">
        <v>27</v>
      </c>
      <c r="F43">
        <v>3</v>
      </c>
      <c r="G43">
        <v>30000</v>
      </c>
      <c r="H43">
        <v>90000</v>
      </c>
      <c r="I43" t="str">
        <f t="shared" si="0"/>
        <v>May</v>
      </c>
    </row>
    <row r="44" spans="1:9" x14ac:dyDescent="0.35">
      <c r="A44" t="s">
        <v>60</v>
      </c>
      <c r="B44">
        <v>1043</v>
      </c>
      <c r="C44" t="s">
        <v>9</v>
      </c>
      <c r="D44" t="s">
        <v>10</v>
      </c>
      <c r="E44" t="s">
        <v>27</v>
      </c>
      <c r="F44">
        <v>5</v>
      </c>
      <c r="G44">
        <v>30000</v>
      </c>
      <c r="H44">
        <v>150000</v>
      </c>
      <c r="I44" t="str">
        <f t="shared" si="0"/>
        <v>Jan</v>
      </c>
    </row>
    <row r="45" spans="1:9" x14ac:dyDescent="0.35">
      <c r="A45" t="s">
        <v>61</v>
      </c>
      <c r="B45">
        <v>1044</v>
      </c>
      <c r="C45" t="s">
        <v>17</v>
      </c>
      <c r="D45" t="s">
        <v>14</v>
      </c>
      <c r="E45" t="s">
        <v>15</v>
      </c>
      <c r="F45">
        <v>1</v>
      </c>
      <c r="G45">
        <v>2000</v>
      </c>
      <c r="H45">
        <v>2000</v>
      </c>
      <c r="I45" t="str">
        <f t="shared" si="0"/>
        <v>Apr</v>
      </c>
    </row>
    <row r="46" spans="1:9" x14ac:dyDescent="0.35">
      <c r="A46" t="s">
        <v>62</v>
      </c>
      <c r="B46">
        <v>1045</v>
      </c>
      <c r="C46" t="s">
        <v>20</v>
      </c>
      <c r="D46" t="s">
        <v>10</v>
      </c>
      <c r="E46" t="s">
        <v>15</v>
      </c>
      <c r="F46">
        <v>4</v>
      </c>
      <c r="G46">
        <v>2000</v>
      </c>
      <c r="H46">
        <v>8000</v>
      </c>
      <c r="I46" t="str">
        <f t="shared" si="0"/>
        <v>Apr</v>
      </c>
    </row>
    <row r="47" spans="1:9" x14ac:dyDescent="0.35">
      <c r="A47" t="s">
        <v>63</v>
      </c>
      <c r="B47">
        <v>1046</v>
      </c>
      <c r="C47" t="s">
        <v>17</v>
      </c>
      <c r="D47" t="s">
        <v>18</v>
      </c>
      <c r="E47" t="s">
        <v>11</v>
      </c>
      <c r="F47">
        <v>4</v>
      </c>
      <c r="G47">
        <v>15000</v>
      </c>
      <c r="H47">
        <v>60000</v>
      </c>
      <c r="I47" t="str">
        <f t="shared" si="0"/>
        <v>Jan</v>
      </c>
    </row>
    <row r="48" spans="1:9" x14ac:dyDescent="0.35">
      <c r="A48" t="s">
        <v>64</v>
      </c>
      <c r="B48">
        <v>1047</v>
      </c>
      <c r="C48" t="s">
        <v>17</v>
      </c>
      <c r="D48" t="s">
        <v>34</v>
      </c>
      <c r="E48" t="s">
        <v>15</v>
      </c>
      <c r="F48">
        <v>1</v>
      </c>
      <c r="G48">
        <v>2000</v>
      </c>
      <c r="H48">
        <v>2000</v>
      </c>
      <c r="I48" t="str">
        <f t="shared" si="0"/>
        <v>Jan</v>
      </c>
    </row>
    <row r="49" spans="1:9" x14ac:dyDescent="0.35">
      <c r="A49" t="s">
        <v>46</v>
      </c>
      <c r="B49">
        <v>1048</v>
      </c>
      <c r="C49" t="s">
        <v>13</v>
      </c>
      <c r="D49" t="s">
        <v>21</v>
      </c>
      <c r="E49" t="s">
        <v>29</v>
      </c>
      <c r="F49">
        <v>4</v>
      </c>
      <c r="G49">
        <v>4000</v>
      </c>
      <c r="H49">
        <v>16000</v>
      </c>
      <c r="I49" t="str">
        <f t="shared" si="0"/>
        <v>Apr</v>
      </c>
    </row>
    <row r="50" spans="1:9" x14ac:dyDescent="0.35">
      <c r="A50" t="s">
        <v>65</v>
      </c>
      <c r="B50">
        <v>1049</v>
      </c>
      <c r="C50" t="s">
        <v>17</v>
      </c>
      <c r="D50" t="s">
        <v>18</v>
      </c>
      <c r="E50" t="s">
        <v>15</v>
      </c>
      <c r="F50">
        <v>2</v>
      </c>
      <c r="G50">
        <v>2000</v>
      </c>
      <c r="H50">
        <v>4000</v>
      </c>
      <c r="I50" t="str">
        <f t="shared" si="0"/>
        <v>Feb</v>
      </c>
    </row>
    <row r="51" spans="1:9" x14ac:dyDescent="0.35">
      <c r="A51" t="s">
        <v>66</v>
      </c>
      <c r="B51">
        <v>1050</v>
      </c>
      <c r="C51" t="s">
        <v>17</v>
      </c>
      <c r="D51" t="s">
        <v>31</v>
      </c>
      <c r="E51" t="s">
        <v>11</v>
      </c>
      <c r="F51">
        <v>4</v>
      </c>
      <c r="G51">
        <v>15000</v>
      </c>
      <c r="H51">
        <v>60000</v>
      </c>
      <c r="I51" t="str">
        <f t="shared" si="0"/>
        <v>May</v>
      </c>
    </row>
    <row r="52" spans="1:9" x14ac:dyDescent="0.35">
      <c r="A52" t="s">
        <v>67</v>
      </c>
      <c r="B52">
        <v>1051</v>
      </c>
      <c r="C52" t="s">
        <v>9</v>
      </c>
      <c r="D52" t="s">
        <v>31</v>
      </c>
      <c r="E52" t="s">
        <v>15</v>
      </c>
      <c r="F52">
        <v>2</v>
      </c>
      <c r="G52">
        <v>2000</v>
      </c>
      <c r="H52">
        <v>4000</v>
      </c>
      <c r="I52" t="str">
        <f t="shared" si="0"/>
        <v>May</v>
      </c>
    </row>
    <row r="53" spans="1:9" x14ac:dyDescent="0.35">
      <c r="A53" t="s">
        <v>8</v>
      </c>
      <c r="B53">
        <v>1052</v>
      </c>
      <c r="C53" t="s">
        <v>13</v>
      </c>
      <c r="D53" t="s">
        <v>21</v>
      </c>
      <c r="E53" t="s">
        <v>44</v>
      </c>
      <c r="F53">
        <v>1</v>
      </c>
      <c r="G53">
        <v>50000</v>
      </c>
      <c r="H53">
        <v>50000</v>
      </c>
      <c r="I53" t="str">
        <f t="shared" si="0"/>
        <v>May</v>
      </c>
    </row>
    <row r="54" spans="1:9" x14ac:dyDescent="0.35">
      <c r="A54" t="s">
        <v>68</v>
      </c>
      <c r="B54">
        <v>1053</v>
      </c>
      <c r="C54" t="s">
        <v>13</v>
      </c>
      <c r="D54" t="s">
        <v>18</v>
      </c>
      <c r="E54" t="s">
        <v>11</v>
      </c>
      <c r="F54">
        <v>5</v>
      </c>
      <c r="G54">
        <v>15000</v>
      </c>
      <c r="H54">
        <v>75000</v>
      </c>
      <c r="I54" t="str">
        <f t="shared" si="0"/>
        <v>Jun</v>
      </c>
    </row>
    <row r="55" spans="1:9" x14ac:dyDescent="0.35">
      <c r="A55" t="s">
        <v>69</v>
      </c>
      <c r="B55">
        <v>1054</v>
      </c>
      <c r="C55" t="s">
        <v>13</v>
      </c>
      <c r="D55" t="s">
        <v>21</v>
      </c>
      <c r="E55" t="s">
        <v>24</v>
      </c>
      <c r="F55">
        <v>5</v>
      </c>
      <c r="G55">
        <v>20000</v>
      </c>
      <c r="H55">
        <v>100000</v>
      </c>
      <c r="I55" t="str">
        <f t="shared" si="0"/>
        <v>Apr</v>
      </c>
    </row>
    <row r="56" spans="1:9" x14ac:dyDescent="0.35">
      <c r="A56" t="s">
        <v>43</v>
      </c>
      <c r="B56">
        <v>1055</v>
      </c>
      <c r="C56" t="s">
        <v>20</v>
      </c>
      <c r="D56" t="s">
        <v>31</v>
      </c>
      <c r="E56" t="s">
        <v>44</v>
      </c>
      <c r="F56">
        <v>1</v>
      </c>
      <c r="G56">
        <v>50000</v>
      </c>
      <c r="H56">
        <v>50000</v>
      </c>
      <c r="I56" t="str">
        <f t="shared" si="0"/>
        <v>Apr</v>
      </c>
    </row>
    <row r="57" spans="1:9" x14ac:dyDescent="0.35">
      <c r="A57" t="s">
        <v>70</v>
      </c>
      <c r="B57">
        <v>1056</v>
      </c>
      <c r="C57" t="s">
        <v>13</v>
      </c>
      <c r="D57" t="s">
        <v>34</v>
      </c>
      <c r="E57" t="s">
        <v>44</v>
      </c>
      <c r="F57">
        <v>3</v>
      </c>
      <c r="G57">
        <v>50000</v>
      </c>
      <c r="H57">
        <v>150000</v>
      </c>
      <c r="I57" t="str">
        <f t="shared" si="0"/>
        <v>May</v>
      </c>
    </row>
    <row r="58" spans="1:9" x14ac:dyDescent="0.35">
      <c r="A58" t="s">
        <v>71</v>
      </c>
      <c r="B58">
        <v>1057</v>
      </c>
      <c r="C58" t="s">
        <v>9</v>
      </c>
      <c r="D58" t="s">
        <v>34</v>
      </c>
      <c r="E58" t="s">
        <v>44</v>
      </c>
      <c r="F58">
        <v>2</v>
      </c>
      <c r="G58">
        <v>50000</v>
      </c>
      <c r="H58">
        <v>100000</v>
      </c>
      <c r="I58" t="str">
        <f t="shared" si="0"/>
        <v>Mar</v>
      </c>
    </row>
    <row r="59" spans="1:9" x14ac:dyDescent="0.35">
      <c r="A59" t="s">
        <v>72</v>
      </c>
      <c r="B59">
        <v>1058</v>
      </c>
      <c r="C59" t="s">
        <v>9</v>
      </c>
      <c r="D59" t="s">
        <v>10</v>
      </c>
      <c r="E59" t="s">
        <v>29</v>
      </c>
      <c r="F59">
        <v>5</v>
      </c>
      <c r="G59">
        <v>4000</v>
      </c>
      <c r="H59">
        <v>20000</v>
      </c>
      <c r="I59" t="str">
        <f t="shared" si="0"/>
        <v>Apr</v>
      </c>
    </row>
    <row r="60" spans="1:9" x14ac:dyDescent="0.35">
      <c r="A60" t="s">
        <v>73</v>
      </c>
      <c r="B60">
        <v>1059</v>
      </c>
      <c r="C60" t="s">
        <v>9</v>
      </c>
      <c r="D60" t="s">
        <v>14</v>
      </c>
      <c r="E60" t="s">
        <v>29</v>
      </c>
      <c r="F60">
        <v>5</v>
      </c>
      <c r="G60">
        <v>4000</v>
      </c>
      <c r="H60">
        <v>20000</v>
      </c>
      <c r="I60" t="str">
        <f t="shared" si="0"/>
        <v>Feb</v>
      </c>
    </row>
    <row r="61" spans="1:9" x14ac:dyDescent="0.35">
      <c r="A61" t="s">
        <v>74</v>
      </c>
      <c r="B61">
        <v>1060</v>
      </c>
      <c r="C61" t="s">
        <v>20</v>
      </c>
      <c r="D61" t="s">
        <v>18</v>
      </c>
      <c r="E61" t="s">
        <v>27</v>
      </c>
      <c r="F61">
        <v>4</v>
      </c>
      <c r="G61">
        <v>30000</v>
      </c>
      <c r="H61">
        <v>120000</v>
      </c>
      <c r="I61" t="str">
        <f t="shared" si="0"/>
        <v>May</v>
      </c>
    </row>
    <row r="62" spans="1:9" x14ac:dyDescent="0.35">
      <c r="A62" t="s">
        <v>28</v>
      </c>
      <c r="B62">
        <v>1061</v>
      </c>
      <c r="C62" t="s">
        <v>9</v>
      </c>
      <c r="D62" t="s">
        <v>31</v>
      </c>
      <c r="E62" t="s">
        <v>29</v>
      </c>
      <c r="F62">
        <v>3</v>
      </c>
      <c r="G62">
        <v>4000</v>
      </c>
      <c r="H62">
        <v>12000</v>
      </c>
      <c r="I62" t="str">
        <f t="shared" si="0"/>
        <v>Feb</v>
      </c>
    </row>
    <row r="63" spans="1:9" x14ac:dyDescent="0.35">
      <c r="A63" t="s">
        <v>41</v>
      </c>
      <c r="B63">
        <v>1062</v>
      </c>
      <c r="C63" t="s">
        <v>17</v>
      </c>
      <c r="D63" t="s">
        <v>14</v>
      </c>
      <c r="E63" t="s">
        <v>44</v>
      </c>
      <c r="F63">
        <v>4</v>
      </c>
      <c r="G63">
        <v>50000</v>
      </c>
      <c r="H63">
        <v>200000</v>
      </c>
      <c r="I63" t="str">
        <f t="shared" si="0"/>
        <v>May</v>
      </c>
    </row>
    <row r="64" spans="1:9" x14ac:dyDescent="0.35">
      <c r="A64" t="s">
        <v>73</v>
      </c>
      <c r="B64">
        <v>1063</v>
      </c>
      <c r="C64" t="s">
        <v>20</v>
      </c>
      <c r="D64" t="s">
        <v>18</v>
      </c>
      <c r="E64" t="s">
        <v>29</v>
      </c>
      <c r="F64">
        <v>2</v>
      </c>
      <c r="G64">
        <v>4000</v>
      </c>
      <c r="H64">
        <v>8000</v>
      </c>
      <c r="I64" t="str">
        <f t="shared" si="0"/>
        <v>Feb</v>
      </c>
    </row>
    <row r="65" spans="1:9" x14ac:dyDescent="0.35">
      <c r="A65" t="s">
        <v>75</v>
      </c>
      <c r="B65">
        <v>1064</v>
      </c>
      <c r="C65" t="s">
        <v>17</v>
      </c>
      <c r="D65" t="s">
        <v>31</v>
      </c>
      <c r="E65" t="s">
        <v>27</v>
      </c>
      <c r="F65">
        <v>1</v>
      </c>
      <c r="G65">
        <v>30000</v>
      </c>
      <c r="H65">
        <v>30000</v>
      </c>
      <c r="I65" t="str">
        <f t="shared" si="0"/>
        <v>Mar</v>
      </c>
    </row>
    <row r="66" spans="1:9" x14ac:dyDescent="0.35">
      <c r="A66" t="s">
        <v>76</v>
      </c>
      <c r="B66">
        <v>1065</v>
      </c>
      <c r="C66" t="s">
        <v>17</v>
      </c>
      <c r="D66" t="s">
        <v>10</v>
      </c>
      <c r="E66" t="s">
        <v>27</v>
      </c>
      <c r="F66">
        <v>3</v>
      </c>
      <c r="G66">
        <v>30000</v>
      </c>
      <c r="H66">
        <v>90000</v>
      </c>
      <c r="I66" t="str">
        <f t="shared" ref="I66:I129" si="1">TEXT(A66,"mmm")</f>
        <v>Jun</v>
      </c>
    </row>
    <row r="67" spans="1:9" x14ac:dyDescent="0.35">
      <c r="A67" t="s">
        <v>77</v>
      </c>
      <c r="B67">
        <v>1066</v>
      </c>
      <c r="C67" t="s">
        <v>13</v>
      </c>
      <c r="D67" t="s">
        <v>31</v>
      </c>
      <c r="E67" t="s">
        <v>44</v>
      </c>
      <c r="F67">
        <v>3</v>
      </c>
      <c r="G67">
        <v>50000</v>
      </c>
      <c r="H67">
        <v>150000</v>
      </c>
      <c r="I67" t="str">
        <f t="shared" si="1"/>
        <v>Mar</v>
      </c>
    </row>
    <row r="68" spans="1:9" x14ac:dyDescent="0.35">
      <c r="A68" t="s">
        <v>35</v>
      </c>
      <c r="B68">
        <v>1067</v>
      </c>
      <c r="C68" t="s">
        <v>9</v>
      </c>
      <c r="D68" t="s">
        <v>21</v>
      </c>
      <c r="E68" t="s">
        <v>15</v>
      </c>
      <c r="F68">
        <v>1</v>
      </c>
      <c r="G68">
        <v>2000</v>
      </c>
      <c r="H68">
        <v>2000</v>
      </c>
      <c r="I68" t="str">
        <f t="shared" si="1"/>
        <v>May</v>
      </c>
    </row>
    <row r="69" spans="1:9" x14ac:dyDescent="0.35">
      <c r="A69" t="s">
        <v>75</v>
      </c>
      <c r="B69">
        <v>1068</v>
      </c>
      <c r="C69" t="s">
        <v>13</v>
      </c>
      <c r="D69" t="s">
        <v>31</v>
      </c>
      <c r="E69" t="s">
        <v>24</v>
      </c>
      <c r="F69">
        <v>4</v>
      </c>
      <c r="G69">
        <v>20000</v>
      </c>
      <c r="H69">
        <v>80000</v>
      </c>
      <c r="I69" t="str">
        <f t="shared" si="1"/>
        <v>Mar</v>
      </c>
    </row>
    <row r="70" spans="1:9" x14ac:dyDescent="0.35">
      <c r="A70" t="s">
        <v>78</v>
      </c>
      <c r="B70">
        <v>1069</v>
      </c>
      <c r="C70" t="s">
        <v>20</v>
      </c>
      <c r="D70" t="s">
        <v>31</v>
      </c>
      <c r="E70" t="s">
        <v>29</v>
      </c>
      <c r="F70">
        <v>3</v>
      </c>
      <c r="G70">
        <v>4000</v>
      </c>
      <c r="H70">
        <v>12000</v>
      </c>
      <c r="I70" t="str">
        <f t="shared" si="1"/>
        <v>Apr</v>
      </c>
    </row>
    <row r="71" spans="1:9" x14ac:dyDescent="0.35">
      <c r="A71" t="s">
        <v>79</v>
      </c>
      <c r="B71">
        <v>1070</v>
      </c>
      <c r="C71" t="s">
        <v>17</v>
      </c>
      <c r="D71" t="s">
        <v>34</v>
      </c>
      <c r="E71" t="s">
        <v>15</v>
      </c>
      <c r="F71">
        <v>4</v>
      </c>
      <c r="G71">
        <v>2000</v>
      </c>
      <c r="H71">
        <v>8000</v>
      </c>
      <c r="I71" t="str">
        <f t="shared" si="1"/>
        <v>Jan</v>
      </c>
    </row>
    <row r="72" spans="1:9" x14ac:dyDescent="0.35">
      <c r="A72" t="s">
        <v>80</v>
      </c>
      <c r="B72">
        <v>1071</v>
      </c>
      <c r="C72" t="s">
        <v>13</v>
      </c>
      <c r="D72" t="s">
        <v>10</v>
      </c>
      <c r="E72" t="s">
        <v>11</v>
      </c>
      <c r="F72">
        <v>1</v>
      </c>
      <c r="G72">
        <v>15000</v>
      </c>
      <c r="H72">
        <v>15000</v>
      </c>
      <c r="I72" t="str">
        <f t="shared" si="1"/>
        <v>May</v>
      </c>
    </row>
    <row r="73" spans="1:9" x14ac:dyDescent="0.35">
      <c r="A73" t="s">
        <v>75</v>
      </c>
      <c r="B73">
        <v>1072</v>
      </c>
      <c r="C73" t="s">
        <v>20</v>
      </c>
      <c r="D73" t="s">
        <v>34</v>
      </c>
      <c r="E73" t="s">
        <v>44</v>
      </c>
      <c r="F73">
        <v>2</v>
      </c>
      <c r="G73">
        <v>50000</v>
      </c>
      <c r="H73">
        <v>100000</v>
      </c>
      <c r="I73" t="str">
        <f t="shared" si="1"/>
        <v>Mar</v>
      </c>
    </row>
    <row r="74" spans="1:9" x14ac:dyDescent="0.35">
      <c r="A74" t="s">
        <v>81</v>
      </c>
      <c r="B74">
        <v>1073</v>
      </c>
      <c r="C74" t="s">
        <v>9</v>
      </c>
      <c r="D74" t="s">
        <v>14</v>
      </c>
      <c r="E74" t="s">
        <v>15</v>
      </c>
      <c r="F74">
        <v>3</v>
      </c>
      <c r="G74">
        <v>2000</v>
      </c>
      <c r="H74">
        <v>6000</v>
      </c>
      <c r="I74" t="str">
        <f t="shared" si="1"/>
        <v>Feb</v>
      </c>
    </row>
    <row r="75" spans="1:9" x14ac:dyDescent="0.35">
      <c r="A75" t="s">
        <v>82</v>
      </c>
      <c r="B75">
        <v>1074</v>
      </c>
      <c r="C75" t="s">
        <v>13</v>
      </c>
      <c r="D75" t="s">
        <v>18</v>
      </c>
      <c r="E75" t="s">
        <v>29</v>
      </c>
      <c r="F75">
        <v>4</v>
      </c>
      <c r="G75">
        <v>4000</v>
      </c>
      <c r="H75">
        <v>16000</v>
      </c>
      <c r="I75" t="str">
        <f t="shared" si="1"/>
        <v>Apr</v>
      </c>
    </row>
    <row r="76" spans="1:9" x14ac:dyDescent="0.35">
      <c r="A76" t="s">
        <v>26</v>
      </c>
      <c r="B76">
        <v>1075</v>
      </c>
      <c r="C76" t="s">
        <v>13</v>
      </c>
      <c r="D76" t="s">
        <v>14</v>
      </c>
      <c r="E76" t="s">
        <v>11</v>
      </c>
      <c r="F76">
        <v>4</v>
      </c>
      <c r="G76">
        <v>15000</v>
      </c>
      <c r="H76">
        <v>60000</v>
      </c>
      <c r="I76" t="str">
        <f t="shared" si="1"/>
        <v>Apr</v>
      </c>
    </row>
    <row r="77" spans="1:9" x14ac:dyDescent="0.35">
      <c r="A77" t="s">
        <v>83</v>
      </c>
      <c r="B77">
        <v>1076</v>
      </c>
      <c r="C77" t="s">
        <v>13</v>
      </c>
      <c r="D77" t="s">
        <v>10</v>
      </c>
      <c r="E77" t="s">
        <v>27</v>
      </c>
      <c r="F77">
        <v>2</v>
      </c>
      <c r="G77">
        <v>30000</v>
      </c>
      <c r="H77">
        <v>60000</v>
      </c>
      <c r="I77" t="str">
        <f t="shared" si="1"/>
        <v>Jun</v>
      </c>
    </row>
    <row r="78" spans="1:9" x14ac:dyDescent="0.35">
      <c r="A78" t="s">
        <v>68</v>
      </c>
      <c r="B78">
        <v>1077</v>
      </c>
      <c r="C78" t="s">
        <v>17</v>
      </c>
      <c r="D78" t="s">
        <v>31</v>
      </c>
      <c r="E78" t="s">
        <v>44</v>
      </c>
      <c r="F78">
        <v>2</v>
      </c>
      <c r="G78">
        <v>50000</v>
      </c>
      <c r="H78">
        <v>100000</v>
      </c>
      <c r="I78" t="str">
        <f t="shared" si="1"/>
        <v>Jun</v>
      </c>
    </row>
    <row r="79" spans="1:9" x14ac:dyDescent="0.35">
      <c r="A79" t="s">
        <v>42</v>
      </c>
      <c r="B79">
        <v>1078</v>
      </c>
      <c r="C79" t="s">
        <v>9</v>
      </c>
      <c r="D79" t="s">
        <v>21</v>
      </c>
      <c r="E79" t="s">
        <v>15</v>
      </c>
      <c r="F79">
        <v>1</v>
      </c>
      <c r="G79">
        <v>2000</v>
      </c>
      <c r="H79">
        <v>2000</v>
      </c>
      <c r="I79" t="str">
        <f t="shared" si="1"/>
        <v>Jan</v>
      </c>
    </row>
    <row r="80" spans="1:9" x14ac:dyDescent="0.35">
      <c r="A80" t="s">
        <v>84</v>
      </c>
      <c r="B80">
        <v>1079</v>
      </c>
      <c r="C80" t="s">
        <v>13</v>
      </c>
      <c r="D80" t="s">
        <v>21</v>
      </c>
      <c r="E80" t="s">
        <v>24</v>
      </c>
      <c r="F80">
        <v>1</v>
      </c>
      <c r="G80">
        <v>20000</v>
      </c>
      <c r="H80">
        <v>20000</v>
      </c>
      <c r="I80" t="str">
        <f t="shared" si="1"/>
        <v>Mar</v>
      </c>
    </row>
    <row r="81" spans="1:9" x14ac:dyDescent="0.35">
      <c r="A81" t="s">
        <v>57</v>
      </c>
      <c r="B81">
        <v>1080</v>
      </c>
      <c r="C81" t="s">
        <v>13</v>
      </c>
      <c r="D81" t="s">
        <v>31</v>
      </c>
      <c r="E81" t="s">
        <v>27</v>
      </c>
      <c r="F81">
        <v>4</v>
      </c>
      <c r="G81">
        <v>30000</v>
      </c>
      <c r="H81">
        <v>120000</v>
      </c>
      <c r="I81" t="str">
        <f t="shared" si="1"/>
        <v>Apr</v>
      </c>
    </row>
    <row r="82" spans="1:9" x14ac:dyDescent="0.35">
      <c r="A82" t="s">
        <v>85</v>
      </c>
      <c r="B82">
        <v>1081</v>
      </c>
      <c r="C82" t="s">
        <v>13</v>
      </c>
      <c r="D82" t="s">
        <v>21</v>
      </c>
      <c r="E82" t="s">
        <v>29</v>
      </c>
      <c r="F82">
        <v>2</v>
      </c>
      <c r="G82">
        <v>4000</v>
      </c>
      <c r="H82">
        <v>8000</v>
      </c>
      <c r="I82" t="str">
        <f t="shared" si="1"/>
        <v>Mar</v>
      </c>
    </row>
    <row r="83" spans="1:9" x14ac:dyDescent="0.35">
      <c r="A83" t="s">
        <v>36</v>
      </c>
      <c r="B83">
        <v>1082</v>
      </c>
      <c r="C83" t="s">
        <v>20</v>
      </c>
      <c r="D83" t="s">
        <v>18</v>
      </c>
      <c r="E83" t="s">
        <v>15</v>
      </c>
      <c r="F83">
        <v>4</v>
      </c>
      <c r="G83">
        <v>2000</v>
      </c>
      <c r="H83">
        <v>8000</v>
      </c>
      <c r="I83" t="str">
        <f t="shared" si="1"/>
        <v>Feb</v>
      </c>
    </row>
    <row r="84" spans="1:9" x14ac:dyDescent="0.35">
      <c r="A84" t="s">
        <v>86</v>
      </c>
      <c r="B84">
        <v>1083</v>
      </c>
      <c r="C84" t="s">
        <v>13</v>
      </c>
      <c r="D84" t="s">
        <v>18</v>
      </c>
      <c r="E84" t="s">
        <v>24</v>
      </c>
      <c r="F84">
        <v>4</v>
      </c>
      <c r="G84">
        <v>20000</v>
      </c>
      <c r="H84">
        <v>80000</v>
      </c>
      <c r="I84" t="str">
        <f t="shared" si="1"/>
        <v>Feb</v>
      </c>
    </row>
    <row r="85" spans="1:9" x14ac:dyDescent="0.35">
      <c r="A85" t="s">
        <v>87</v>
      </c>
      <c r="B85">
        <v>1084</v>
      </c>
      <c r="C85" t="s">
        <v>13</v>
      </c>
      <c r="D85" t="s">
        <v>10</v>
      </c>
      <c r="E85" t="s">
        <v>11</v>
      </c>
      <c r="F85">
        <v>3</v>
      </c>
      <c r="G85">
        <v>15000</v>
      </c>
      <c r="H85">
        <v>45000</v>
      </c>
      <c r="I85" t="str">
        <f t="shared" si="1"/>
        <v>May</v>
      </c>
    </row>
    <row r="86" spans="1:9" x14ac:dyDescent="0.35">
      <c r="A86" t="s">
        <v>74</v>
      </c>
      <c r="B86">
        <v>1085</v>
      </c>
      <c r="C86" t="s">
        <v>9</v>
      </c>
      <c r="D86" t="s">
        <v>14</v>
      </c>
      <c r="E86" t="s">
        <v>24</v>
      </c>
      <c r="F86">
        <v>1</v>
      </c>
      <c r="G86">
        <v>20000</v>
      </c>
      <c r="H86">
        <v>20000</v>
      </c>
      <c r="I86" t="str">
        <f t="shared" si="1"/>
        <v>May</v>
      </c>
    </row>
    <row r="87" spans="1:9" x14ac:dyDescent="0.35">
      <c r="A87" t="s">
        <v>88</v>
      </c>
      <c r="B87">
        <v>1086</v>
      </c>
      <c r="C87" t="s">
        <v>9</v>
      </c>
      <c r="D87" t="s">
        <v>34</v>
      </c>
      <c r="E87" t="s">
        <v>44</v>
      </c>
      <c r="F87">
        <v>1</v>
      </c>
      <c r="G87">
        <v>50000</v>
      </c>
      <c r="H87">
        <v>50000</v>
      </c>
      <c r="I87" t="str">
        <f t="shared" si="1"/>
        <v>Apr</v>
      </c>
    </row>
    <row r="88" spans="1:9" x14ac:dyDescent="0.35">
      <c r="A88" t="s">
        <v>33</v>
      </c>
      <c r="B88">
        <v>1087</v>
      </c>
      <c r="C88" t="s">
        <v>13</v>
      </c>
      <c r="D88" t="s">
        <v>10</v>
      </c>
      <c r="E88" t="s">
        <v>44</v>
      </c>
      <c r="F88">
        <v>2</v>
      </c>
      <c r="G88">
        <v>50000</v>
      </c>
      <c r="H88">
        <v>100000</v>
      </c>
      <c r="I88" t="str">
        <f t="shared" si="1"/>
        <v>Apr</v>
      </c>
    </row>
    <row r="89" spans="1:9" x14ac:dyDescent="0.35">
      <c r="A89" t="s">
        <v>32</v>
      </c>
      <c r="B89">
        <v>1088</v>
      </c>
      <c r="C89" t="s">
        <v>13</v>
      </c>
      <c r="D89" t="s">
        <v>14</v>
      </c>
      <c r="E89" t="s">
        <v>27</v>
      </c>
      <c r="F89">
        <v>2</v>
      </c>
      <c r="G89">
        <v>30000</v>
      </c>
      <c r="H89">
        <v>60000</v>
      </c>
      <c r="I89" t="str">
        <f t="shared" si="1"/>
        <v>May</v>
      </c>
    </row>
    <row r="90" spans="1:9" x14ac:dyDescent="0.35">
      <c r="A90" t="s">
        <v>89</v>
      </c>
      <c r="B90">
        <v>1089</v>
      </c>
      <c r="C90" t="s">
        <v>13</v>
      </c>
      <c r="D90" t="s">
        <v>31</v>
      </c>
      <c r="E90" t="s">
        <v>15</v>
      </c>
      <c r="F90">
        <v>1</v>
      </c>
      <c r="G90">
        <v>2000</v>
      </c>
      <c r="H90">
        <v>2000</v>
      </c>
      <c r="I90" t="str">
        <f t="shared" si="1"/>
        <v>Jun</v>
      </c>
    </row>
    <row r="91" spans="1:9" x14ac:dyDescent="0.35">
      <c r="A91" t="s">
        <v>90</v>
      </c>
      <c r="B91">
        <v>1090</v>
      </c>
      <c r="C91" t="s">
        <v>20</v>
      </c>
      <c r="D91" t="s">
        <v>21</v>
      </c>
      <c r="E91" t="s">
        <v>15</v>
      </c>
      <c r="F91">
        <v>2</v>
      </c>
      <c r="G91">
        <v>2000</v>
      </c>
      <c r="H91">
        <v>4000</v>
      </c>
      <c r="I91" t="str">
        <f t="shared" si="1"/>
        <v>Feb</v>
      </c>
    </row>
    <row r="92" spans="1:9" x14ac:dyDescent="0.35">
      <c r="A92" t="s">
        <v>91</v>
      </c>
      <c r="B92">
        <v>1091</v>
      </c>
      <c r="C92" t="s">
        <v>17</v>
      </c>
      <c r="D92" t="s">
        <v>10</v>
      </c>
      <c r="E92" t="s">
        <v>11</v>
      </c>
      <c r="F92">
        <v>3</v>
      </c>
      <c r="G92">
        <v>15000</v>
      </c>
      <c r="H92">
        <v>45000</v>
      </c>
      <c r="I92" t="str">
        <f t="shared" si="1"/>
        <v>Feb</v>
      </c>
    </row>
    <row r="93" spans="1:9" x14ac:dyDescent="0.35">
      <c r="A93" t="s">
        <v>36</v>
      </c>
      <c r="B93">
        <v>1092</v>
      </c>
      <c r="C93" t="s">
        <v>13</v>
      </c>
      <c r="D93" t="s">
        <v>10</v>
      </c>
      <c r="E93" t="s">
        <v>44</v>
      </c>
      <c r="F93">
        <v>5</v>
      </c>
      <c r="G93">
        <v>50000</v>
      </c>
      <c r="H93">
        <v>250000</v>
      </c>
      <c r="I93" t="str">
        <f t="shared" si="1"/>
        <v>Feb</v>
      </c>
    </row>
    <row r="94" spans="1:9" x14ac:dyDescent="0.35">
      <c r="A94" t="s">
        <v>92</v>
      </c>
      <c r="B94">
        <v>1093</v>
      </c>
      <c r="C94" t="s">
        <v>17</v>
      </c>
      <c r="D94" t="s">
        <v>10</v>
      </c>
      <c r="E94" t="s">
        <v>44</v>
      </c>
      <c r="F94">
        <v>5</v>
      </c>
      <c r="G94">
        <v>50000</v>
      </c>
      <c r="H94">
        <v>250000</v>
      </c>
      <c r="I94" t="str">
        <f t="shared" si="1"/>
        <v>Jan</v>
      </c>
    </row>
    <row r="95" spans="1:9" x14ac:dyDescent="0.35">
      <c r="A95" t="s">
        <v>93</v>
      </c>
      <c r="B95">
        <v>1094</v>
      </c>
      <c r="C95" t="s">
        <v>17</v>
      </c>
      <c r="D95" t="s">
        <v>21</v>
      </c>
      <c r="E95" t="s">
        <v>29</v>
      </c>
      <c r="F95">
        <v>2</v>
      </c>
      <c r="G95">
        <v>4000</v>
      </c>
      <c r="H95">
        <v>8000</v>
      </c>
      <c r="I95" t="str">
        <f t="shared" si="1"/>
        <v>May</v>
      </c>
    </row>
    <row r="96" spans="1:9" x14ac:dyDescent="0.35">
      <c r="A96" t="s">
        <v>94</v>
      </c>
      <c r="B96">
        <v>1095</v>
      </c>
      <c r="C96" t="s">
        <v>20</v>
      </c>
      <c r="D96" t="s">
        <v>18</v>
      </c>
      <c r="E96" t="s">
        <v>24</v>
      </c>
      <c r="F96">
        <v>4</v>
      </c>
      <c r="G96">
        <v>20000</v>
      </c>
      <c r="H96">
        <v>80000</v>
      </c>
      <c r="I96" t="str">
        <f t="shared" si="1"/>
        <v>Apr</v>
      </c>
    </row>
    <row r="97" spans="1:9" x14ac:dyDescent="0.35">
      <c r="A97" t="s">
        <v>95</v>
      </c>
      <c r="B97">
        <v>1096</v>
      </c>
      <c r="C97" t="s">
        <v>20</v>
      </c>
      <c r="D97" t="s">
        <v>21</v>
      </c>
      <c r="E97" t="s">
        <v>29</v>
      </c>
      <c r="F97">
        <v>1</v>
      </c>
      <c r="G97">
        <v>4000</v>
      </c>
      <c r="H97">
        <v>4000</v>
      </c>
      <c r="I97" t="str">
        <f t="shared" si="1"/>
        <v>Feb</v>
      </c>
    </row>
    <row r="98" spans="1:9" x14ac:dyDescent="0.35">
      <c r="A98" t="s">
        <v>75</v>
      </c>
      <c r="B98">
        <v>1097</v>
      </c>
      <c r="C98" t="s">
        <v>20</v>
      </c>
      <c r="D98" t="s">
        <v>31</v>
      </c>
      <c r="E98" t="s">
        <v>15</v>
      </c>
      <c r="F98">
        <v>4</v>
      </c>
      <c r="G98">
        <v>2000</v>
      </c>
      <c r="H98">
        <v>8000</v>
      </c>
      <c r="I98" t="str">
        <f t="shared" si="1"/>
        <v>Mar</v>
      </c>
    </row>
    <row r="99" spans="1:9" x14ac:dyDescent="0.35">
      <c r="A99" t="s">
        <v>96</v>
      </c>
      <c r="B99">
        <v>1098</v>
      </c>
      <c r="C99" t="s">
        <v>17</v>
      </c>
      <c r="D99" t="s">
        <v>21</v>
      </c>
      <c r="E99" t="s">
        <v>44</v>
      </c>
      <c r="F99">
        <v>4</v>
      </c>
      <c r="G99">
        <v>50000</v>
      </c>
      <c r="H99">
        <v>200000</v>
      </c>
      <c r="I99" t="str">
        <f t="shared" si="1"/>
        <v>May</v>
      </c>
    </row>
    <row r="100" spans="1:9" x14ac:dyDescent="0.35">
      <c r="A100" t="s">
        <v>97</v>
      </c>
      <c r="B100">
        <v>1099</v>
      </c>
      <c r="C100" t="s">
        <v>13</v>
      </c>
      <c r="D100" t="s">
        <v>14</v>
      </c>
      <c r="E100" t="s">
        <v>11</v>
      </c>
      <c r="F100">
        <v>4</v>
      </c>
      <c r="G100">
        <v>15000</v>
      </c>
      <c r="H100">
        <v>60000</v>
      </c>
      <c r="I100" t="str">
        <f t="shared" si="1"/>
        <v>May</v>
      </c>
    </row>
    <row r="101" spans="1:9" x14ac:dyDescent="0.35">
      <c r="A101" t="s">
        <v>98</v>
      </c>
      <c r="B101">
        <v>1100</v>
      </c>
      <c r="C101" t="s">
        <v>13</v>
      </c>
      <c r="D101" t="s">
        <v>18</v>
      </c>
      <c r="E101" t="s">
        <v>15</v>
      </c>
      <c r="F101">
        <v>4</v>
      </c>
      <c r="G101">
        <v>2000</v>
      </c>
      <c r="H101">
        <v>8000</v>
      </c>
      <c r="I101" t="str">
        <f t="shared" si="1"/>
        <v>May</v>
      </c>
    </row>
    <row r="102" spans="1:9" x14ac:dyDescent="0.35">
      <c r="A102" t="s">
        <v>99</v>
      </c>
      <c r="B102">
        <v>1101</v>
      </c>
      <c r="C102" t="s">
        <v>9</v>
      </c>
      <c r="D102" t="s">
        <v>34</v>
      </c>
      <c r="E102" t="s">
        <v>15</v>
      </c>
      <c r="F102">
        <v>3</v>
      </c>
      <c r="G102">
        <v>2000</v>
      </c>
      <c r="H102">
        <v>6000</v>
      </c>
      <c r="I102" t="str">
        <f t="shared" si="1"/>
        <v>May</v>
      </c>
    </row>
    <row r="103" spans="1:9" x14ac:dyDescent="0.35">
      <c r="A103" t="s">
        <v>87</v>
      </c>
      <c r="B103">
        <v>1102</v>
      </c>
      <c r="C103" t="s">
        <v>9</v>
      </c>
      <c r="D103" t="s">
        <v>34</v>
      </c>
      <c r="E103" t="s">
        <v>27</v>
      </c>
      <c r="F103">
        <v>2</v>
      </c>
      <c r="G103">
        <v>30000</v>
      </c>
      <c r="H103">
        <v>60000</v>
      </c>
      <c r="I103" t="str">
        <f t="shared" si="1"/>
        <v>May</v>
      </c>
    </row>
    <row r="104" spans="1:9" x14ac:dyDescent="0.35">
      <c r="A104" t="s">
        <v>95</v>
      </c>
      <c r="B104">
        <v>1103</v>
      </c>
      <c r="C104" t="s">
        <v>13</v>
      </c>
      <c r="D104" t="s">
        <v>18</v>
      </c>
      <c r="E104" t="s">
        <v>27</v>
      </c>
      <c r="F104">
        <v>5</v>
      </c>
      <c r="G104">
        <v>30000</v>
      </c>
      <c r="H104">
        <v>150000</v>
      </c>
      <c r="I104" t="str">
        <f t="shared" si="1"/>
        <v>Feb</v>
      </c>
    </row>
    <row r="105" spans="1:9" x14ac:dyDescent="0.35">
      <c r="A105" t="s">
        <v>56</v>
      </c>
      <c r="B105">
        <v>1104</v>
      </c>
      <c r="C105" t="s">
        <v>17</v>
      </c>
      <c r="D105" t="s">
        <v>21</v>
      </c>
      <c r="E105" t="s">
        <v>15</v>
      </c>
      <c r="F105">
        <v>3</v>
      </c>
      <c r="G105">
        <v>2000</v>
      </c>
      <c r="H105">
        <v>6000</v>
      </c>
      <c r="I105" t="str">
        <f t="shared" si="1"/>
        <v>Feb</v>
      </c>
    </row>
    <row r="106" spans="1:9" x14ac:dyDescent="0.35">
      <c r="A106" t="s">
        <v>100</v>
      </c>
      <c r="B106">
        <v>1105</v>
      </c>
      <c r="C106" t="s">
        <v>13</v>
      </c>
      <c r="D106" t="s">
        <v>31</v>
      </c>
      <c r="E106" t="s">
        <v>29</v>
      </c>
      <c r="F106">
        <v>5</v>
      </c>
      <c r="G106">
        <v>4000</v>
      </c>
      <c r="H106">
        <v>20000</v>
      </c>
      <c r="I106" t="str">
        <f t="shared" si="1"/>
        <v>May</v>
      </c>
    </row>
    <row r="107" spans="1:9" x14ac:dyDescent="0.35">
      <c r="A107" t="s">
        <v>101</v>
      </c>
      <c r="B107">
        <v>1106</v>
      </c>
      <c r="C107" t="s">
        <v>17</v>
      </c>
      <c r="D107" t="s">
        <v>31</v>
      </c>
      <c r="E107" t="s">
        <v>27</v>
      </c>
      <c r="F107">
        <v>5</v>
      </c>
      <c r="G107">
        <v>30000</v>
      </c>
      <c r="H107">
        <v>150000</v>
      </c>
      <c r="I107" t="str">
        <f t="shared" si="1"/>
        <v>May</v>
      </c>
    </row>
    <row r="108" spans="1:9" x14ac:dyDescent="0.35">
      <c r="A108" t="s">
        <v>102</v>
      </c>
      <c r="B108">
        <v>1107</v>
      </c>
      <c r="C108" t="s">
        <v>20</v>
      </c>
      <c r="D108" t="s">
        <v>34</v>
      </c>
      <c r="E108" t="s">
        <v>44</v>
      </c>
      <c r="F108">
        <v>2</v>
      </c>
      <c r="G108">
        <v>50000</v>
      </c>
      <c r="H108">
        <v>100000</v>
      </c>
      <c r="I108" t="str">
        <f t="shared" si="1"/>
        <v>Feb</v>
      </c>
    </row>
    <row r="109" spans="1:9" x14ac:dyDescent="0.35">
      <c r="A109" t="s">
        <v>103</v>
      </c>
      <c r="B109">
        <v>1108</v>
      </c>
      <c r="C109" t="s">
        <v>20</v>
      </c>
      <c r="D109" t="s">
        <v>34</v>
      </c>
      <c r="E109" t="s">
        <v>27</v>
      </c>
      <c r="F109">
        <v>5</v>
      </c>
      <c r="G109">
        <v>30000</v>
      </c>
      <c r="H109">
        <v>150000</v>
      </c>
      <c r="I109" t="str">
        <f t="shared" si="1"/>
        <v>Mar</v>
      </c>
    </row>
    <row r="110" spans="1:9" x14ac:dyDescent="0.35">
      <c r="A110" t="s">
        <v>104</v>
      </c>
      <c r="B110">
        <v>1109</v>
      </c>
      <c r="C110" t="s">
        <v>9</v>
      </c>
      <c r="D110" t="s">
        <v>21</v>
      </c>
      <c r="E110" t="s">
        <v>11</v>
      </c>
      <c r="F110">
        <v>5</v>
      </c>
      <c r="G110">
        <v>15000</v>
      </c>
      <c r="H110">
        <v>75000</v>
      </c>
      <c r="I110" t="str">
        <f t="shared" si="1"/>
        <v>Jun</v>
      </c>
    </row>
    <row r="111" spans="1:9" x14ac:dyDescent="0.35">
      <c r="A111" t="s">
        <v>105</v>
      </c>
      <c r="B111">
        <v>1110</v>
      </c>
      <c r="C111" t="s">
        <v>17</v>
      </c>
      <c r="D111" t="s">
        <v>34</v>
      </c>
      <c r="E111" t="s">
        <v>11</v>
      </c>
      <c r="F111">
        <v>1</v>
      </c>
      <c r="G111">
        <v>15000</v>
      </c>
      <c r="H111">
        <v>15000</v>
      </c>
      <c r="I111" t="str">
        <f t="shared" si="1"/>
        <v>Apr</v>
      </c>
    </row>
    <row r="112" spans="1:9" x14ac:dyDescent="0.35">
      <c r="A112" t="s">
        <v>88</v>
      </c>
      <c r="B112">
        <v>1111</v>
      </c>
      <c r="C112" t="s">
        <v>13</v>
      </c>
      <c r="D112" t="s">
        <v>18</v>
      </c>
      <c r="E112" t="s">
        <v>15</v>
      </c>
      <c r="F112">
        <v>2</v>
      </c>
      <c r="G112">
        <v>2000</v>
      </c>
      <c r="H112">
        <v>4000</v>
      </c>
      <c r="I112" t="str">
        <f t="shared" si="1"/>
        <v>Apr</v>
      </c>
    </row>
    <row r="113" spans="1:9" x14ac:dyDescent="0.35">
      <c r="A113" t="s">
        <v>106</v>
      </c>
      <c r="B113">
        <v>1112</v>
      </c>
      <c r="C113" t="s">
        <v>9</v>
      </c>
      <c r="D113" t="s">
        <v>21</v>
      </c>
      <c r="E113" t="s">
        <v>44</v>
      </c>
      <c r="F113">
        <v>1</v>
      </c>
      <c r="G113">
        <v>50000</v>
      </c>
      <c r="H113">
        <v>50000</v>
      </c>
      <c r="I113" t="str">
        <f t="shared" si="1"/>
        <v>Jun</v>
      </c>
    </row>
    <row r="114" spans="1:9" x14ac:dyDescent="0.35">
      <c r="A114" t="s">
        <v>107</v>
      </c>
      <c r="B114">
        <v>1113</v>
      </c>
      <c r="C114" t="s">
        <v>17</v>
      </c>
      <c r="D114" t="s">
        <v>14</v>
      </c>
      <c r="E114" t="s">
        <v>27</v>
      </c>
      <c r="F114">
        <v>1</v>
      </c>
      <c r="G114">
        <v>30000</v>
      </c>
      <c r="H114">
        <v>30000</v>
      </c>
      <c r="I114" t="str">
        <f t="shared" si="1"/>
        <v>Mar</v>
      </c>
    </row>
    <row r="115" spans="1:9" x14ac:dyDescent="0.35">
      <c r="A115" t="s">
        <v>108</v>
      </c>
      <c r="B115">
        <v>1114</v>
      </c>
      <c r="C115" t="s">
        <v>17</v>
      </c>
      <c r="D115" t="s">
        <v>31</v>
      </c>
      <c r="E115" t="s">
        <v>29</v>
      </c>
      <c r="F115">
        <v>4</v>
      </c>
      <c r="G115">
        <v>4000</v>
      </c>
      <c r="H115">
        <v>16000</v>
      </c>
      <c r="I115" t="str">
        <f t="shared" si="1"/>
        <v>Mar</v>
      </c>
    </row>
    <row r="116" spans="1:9" x14ac:dyDescent="0.35">
      <c r="A116" t="s">
        <v>109</v>
      </c>
      <c r="B116">
        <v>1115</v>
      </c>
      <c r="C116" t="s">
        <v>13</v>
      </c>
      <c r="D116" t="s">
        <v>14</v>
      </c>
      <c r="E116" t="s">
        <v>29</v>
      </c>
      <c r="F116">
        <v>5</v>
      </c>
      <c r="G116">
        <v>4000</v>
      </c>
      <c r="H116">
        <v>20000</v>
      </c>
      <c r="I116" t="str">
        <f t="shared" si="1"/>
        <v>Jan</v>
      </c>
    </row>
    <row r="117" spans="1:9" x14ac:dyDescent="0.35">
      <c r="A117" t="s">
        <v>108</v>
      </c>
      <c r="B117">
        <v>1116</v>
      </c>
      <c r="C117" t="s">
        <v>9</v>
      </c>
      <c r="D117" t="s">
        <v>10</v>
      </c>
      <c r="E117" t="s">
        <v>44</v>
      </c>
      <c r="F117">
        <v>3</v>
      </c>
      <c r="G117">
        <v>50000</v>
      </c>
      <c r="H117">
        <v>150000</v>
      </c>
      <c r="I117" t="str">
        <f t="shared" si="1"/>
        <v>Mar</v>
      </c>
    </row>
    <row r="118" spans="1:9" x14ac:dyDescent="0.35">
      <c r="A118" t="s">
        <v>110</v>
      </c>
      <c r="B118">
        <v>1117</v>
      </c>
      <c r="C118" t="s">
        <v>20</v>
      </c>
      <c r="D118" t="s">
        <v>31</v>
      </c>
      <c r="E118" t="s">
        <v>27</v>
      </c>
      <c r="F118">
        <v>2</v>
      </c>
      <c r="G118">
        <v>30000</v>
      </c>
      <c r="H118">
        <v>60000</v>
      </c>
      <c r="I118" t="str">
        <f t="shared" si="1"/>
        <v>Jan</v>
      </c>
    </row>
    <row r="119" spans="1:9" x14ac:dyDescent="0.35">
      <c r="A119" t="s">
        <v>55</v>
      </c>
      <c r="B119">
        <v>1118</v>
      </c>
      <c r="C119" t="s">
        <v>20</v>
      </c>
      <c r="D119" t="s">
        <v>14</v>
      </c>
      <c r="E119" t="s">
        <v>15</v>
      </c>
      <c r="F119">
        <v>5</v>
      </c>
      <c r="G119">
        <v>2000</v>
      </c>
      <c r="H119">
        <v>10000</v>
      </c>
      <c r="I119" t="str">
        <f t="shared" si="1"/>
        <v>Feb</v>
      </c>
    </row>
    <row r="120" spans="1:9" x14ac:dyDescent="0.35">
      <c r="A120" t="s">
        <v>79</v>
      </c>
      <c r="B120">
        <v>1119</v>
      </c>
      <c r="C120" t="s">
        <v>20</v>
      </c>
      <c r="D120" t="s">
        <v>10</v>
      </c>
      <c r="E120" t="s">
        <v>15</v>
      </c>
      <c r="F120">
        <v>5</v>
      </c>
      <c r="G120">
        <v>2000</v>
      </c>
      <c r="H120">
        <v>10000</v>
      </c>
      <c r="I120" t="str">
        <f t="shared" si="1"/>
        <v>Jan</v>
      </c>
    </row>
    <row r="121" spans="1:9" x14ac:dyDescent="0.35">
      <c r="A121" t="s">
        <v>86</v>
      </c>
      <c r="B121">
        <v>1120</v>
      </c>
      <c r="C121" t="s">
        <v>13</v>
      </c>
      <c r="D121" t="s">
        <v>34</v>
      </c>
      <c r="E121" t="s">
        <v>44</v>
      </c>
      <c r="F121">
        <v>2</v>
      </c>
      <c r="G121">
        <v>50000</v>
      </c>
      <c r="H121">
        <v>100000</v>
      </c>
      <c r="I121" t="str">
        <f t="shared" si="1"/>
        <v>Feb</v>
      </c>
    </row>
    <row r="122" spans="1:9" x14ac:dyDescent="0.35">
      <c r="A122" t="s">
        <v>111</v>
      </c>
      <c r="B122">
        <v>1121</v>
      </c>
      <c r="C122" t="s">
        <v>20</v>
      </c>
      <c r="D122" t="s">
        <v>31</v>
      </c>
      <c r="E122" t="s">
        <v>24</v>
      </c>
      <c r="F122">
        <v>4</v>
      </c>
      <c r="G122">
        <v>20000</v>
      </c>
      <c r="H122">
        <v>80000</v>
      </c>
      <c r="I122" t="str">
        <f t="shared" si="1"/>
        <v>Apr</v>
      </c>
    </row>
    <row r="123" spans="1:9" x14ac:dyDescent="0.35">
      <c r="A123" t="s">
        <v>57</v>
      </c>
      <c r="B123">
        <v>1122</v>
      </c>
      <c r="C123" t="s">
        <v>17</v>
      </c>
      <c r="D123" t="s">
        <v>14</v>
      </c>
      <c r="E123" t="s">
        <v>44</v>
      </c>
      <c r="F123">
        <v>4</v>
      </c>
      <c r="G123">
        <v>50000</v>
      </c>
      <c r="H123">
        <v>200000</v>
      </c>
      <c r="I123" t="str">
        <f t="shared" si="1"/>
        <v>Apr</v>
      </c>
    </row>
    <row r="124" spans="1:9" x14ac:dyDescent="0.35">
      <c r="A124" t="s">
        <v>112</v>
      </c>
      <c r="B124">
        <v>1123</v>
      </c>
      <c r="C124" t="s">
        <v>20</v>
      </c>
      <c r="D124" t="s">
        <v>21</v>
      </c>
      <c r="E124" t="s">
        <v>44</v>
      </c>
      <c r="F124">
        <v>2</v>
      </c>
      <c r="G124">
        <v>50000</v>
      </c>
      <c r="H124">
        <v>100000</v>
      </c>
      <c r="I124" t="str">
        <f t="shared" si="1"/>
        <v>Feb</v>
      </c>
    </row>
    <row r="125" spans="1:9" x14ac:dyDescent="0.35">
      <c r="A125" t="s">
        <v>113</v>
      </c>
      <c r="B125">
        <v>1124</v>
      </c>
      <c r="C125" t="s">
        <v>13</v>
      </c>
      <c r="D125" t="s">
        <v>21</v>
      </c>
      <c r="E125" t="s">
        <v>15</v>
      </c>
      <c r="F125">
        <v>3</v>
      </c>
      <c r="G125">
        <v>2000</v>
      </c>
      <c r="H125">
        <v>6000</v>
      </c>
      <c r="I125" t="str">
        <f t="shared" si="1"/>
        <v>Jun</v>
      </c>
    </row>
    <row r="126" spans="1:9" x14ac:dyDescent="0.35">
      <c r="A126" t="s">
        <v>60</v>
      </c>
      <c r="B126">
        <v>1125</v>
      </c>
      <c r="C126" t="s">
        <v>20</v>
      </c>
      <c r="D126" t="s">
        <v>14</v>
      </c>
      <c r="E126" t="s">
        <v>24</v>
      </c>
      <c r="F126">
        <v>4</v>
      </c>
      <c r="G126">
        <v>20000</v>
      </c>
      <c r="H126">
        <v>80000</v>
      </c>
      <c r="I126" t="str">
        <f t="shared" si="1"/>
        <v>Jan</v>
      </c>
    </row>
    <row r="127" spans="1:9" x14ac:dyDescent="0.35">
      <c r="A127" t="s">
        <v>65</v>
      </c>
      <c r="B127">
        <v>1126</v>
      </c>
      <c r="C127" t="s">
        <v>17</v>
      </c>
      <c r="D127" t="s">
        <v>34</v>
      </c>
      <c r="E127" t="s">
        <v>24</v>
      </c>
      <c r="F127">
        <v>5</v>
      </c>
      <c r="G127">
        <v>20000</v>
      </c>
      <c r="H127">
        <v>100000</v>
      </c>
      <c r="I127" t="str">
        <f t="shared" si="1"/>
        <v>Feb</v>
      </c>
    </row>
    <row r="128" spans="1:9" x14ac:dyDescent="0.35">
      <c r="A128" t="s">
        <v>82</v>
      </c>
      <c r="B128">
        <v>1127</v>
      </c>
      <c r="C128" t="s">
        <v>20</v>
      </c>
      <c r="D128" t="s">
        <v>21</v>
      </c>
      <c r="E128" t="s">
        <v>11</v>
      </c>
      <c r="F128">
        <v>2</v>
      </c>
      <c r="G128">
        <v>15000</v>
      </c>
      <c r="H128">
        <v>30000</v>
      </c>
      <c r="I128" t="str">
        <f t="shared" si="1"/>
        <v>Apr</v>
      </c>
    </row>
    <row r="129" spans="1:9" x14ac:dyDescent="0.35">
      <c r="A129" t="s">
        <v>114</v>
      </c>
      <c r="B129">
        <v>1128</v>
      </c>
      <c r="C129" t="s">
        <v>9</v>
      </c>
      <c r="D129" t="s">
        <v>34</v>
      </c>
      <c r="E129" t="s">
        <v>44</v>
      </c>
      <c r="F129">
        <v>1</v>
      </c>
      <c r="G129">
        <v>50000</v>
      </c>
      <c r="H129">
        <v>50000</v>
      </c>
      <c r="I129" t="str">
        <f t="shared" si="1"/>
        <v>Feb</v>
      </c>
    </row>
    <row r="130" spans="1:9" x14ac:dyDescent="0.35">
      <c r="A130" t="s">
        <v>89</v>
      </c>
      <c r="B130">
        <v>1129</v>
      </c>
      <c r="C130" t="s">
        <v>20</v>
      </c>
      <c r="D130" t="s">
        <v>34</v>
      </c>
      <c r="E130" t="s">
        <v>11</v>
      </c>
      <c r="F130">
        <v>4</v>
      </c>
      <c r="G130">
        <v>15000</v>
      </c>
      <c r="H130">
        <v>60000</v>
      </c>
      <c r="I130" t="str">
        <f t="shared" ref="I130:I193" si="2">TEXT(A130,"mmm")</f>
        <v>Jun</v>
      </c>
    </row>
    <row r="131" spans="1:9" x14ac:dyDescent="0.35">
      <c r="A131" t="s">
        <v>19</v>
      </c>
      <c r="B131">
        <v>1130</v>
      </c>
      <c r="C131" t="s">
        <v>17</v>
      </c>
      <c r="D131" t="s">
        <v>10</v>
      </c>
      <c r="E131" t="s">
        <v>15</v>
      </c>
      <c r="F131">
        <v>1</v>
      </c>
      <c r="G131">
        <v>2000</v>
      </c>
      <c r="H131">
        <v>2000</v>
      </c>
      <c r="I131" t="str">
        <f t="shared" si="2"/>
        <v>Jan</v>
      </c>
    </row>
    <row r="132" spans="1:9" x14ac:dyDescent="0.35">
      <c r="A132" t="s">
        <v>95</v>
      </c>
      <c r="B132">
        <v>1131</v>
      </c>
      <c r="C132" t="s">
        <v>17</v>
      </c>
      <c r="D132" t="s">
        <v>31</v>
      </c>
      <c r="E132" t="s">
        <v>27</v>
      </c>
      <c r="F132">
        <v>4</v>
      </c>
      <c r="G132">
        <v>30000</v>
      </c>
      <c r="H132">
        <v>120000</v>
      </c>
      <c r="I132" t="str">
        <f t="shared" si="2"/>
        <v>Feb</v>
      </c>
    </row>
    <row r="133" spans="1:9" x14ac:dyDescent="0.35">
      <c r="A133" t="s">
        <v>36</v>
      </c>
      <c r="B133">
        <v>1132</v>
      </c>
      <c r="C133" t="s">
        <v>17</v>
      </c>
      <c r="D133" t="s">
        <v>14</v>
      </c>
      <c r="E133" t="s">
        <v>11</v>
      </c>
      <c r="F133">
        <v>2</v>
      </c>
      <c r="G133">
        <v>15000</v>
      </c>
      <c r="H133">
        <v>30000</v>
      </c>
      <c r="I133" t="str">
        <f t="shared" si="2"/>
        <v>Feb</v>
      </c>
    </row>
    <row r="134" spans="1:9" x14ac:dyDescent="0.35">
      <c r="A134" t="s">
        <v>115</v>
      </c>
      <c r="B134">
        <v>1133</v>
      </c>
      <c r="C134" t="s">
        <v>20</v>
      </c>
      <c r="D134" t="s">
        <v>34</v>
      </c>
      <c r="E134" t="s">
        <v>11</v>
      </c>
      <c r="F134">
        <v>2</v>
      </c>
      <c r="G134">
        <v>15000</v>
      </c>
      <c r="H134">
        <v>30000</v>
      </c>
      <c r="I134" t="str">
        <f t="shared" si="2"/>
        <v>Jan</v>
      </c>
    </row>
    <row r="135" spans="1:9" x14ac:dyDescent="0.35">
      <c r="A135" t="s">
        <v>95</v>
      </c>
      <c r="B135">
        <v>1134</v>
      </c>
      <c r="C135" t="s">
        <v>17</v>
      </c>
      <c r="D135" t="s">
        <v>18</v>
      </c>
      <c r="E135" t="s">
        <v>15</v>
      </c>
      <c r="F135">
        <v>5</v>
      </c>
      <c r="G135">
        <v>2000</v>
      </c>
      <c r="H135">
        <v>10000</v>
      </c>
      <c r="I135" t="str">
        <f t="shared" si="2"/>
        <v>Feb</v>
      </c>
    </row>
    <row r="136" spans="1:9" x14ac:dyDescent="0.35">
      <c r="A136" t="s">
        <v>55</v>
      </c>
      <c r="B136">
        <v>1135</v>
      </c>
      <c r="C136" t="s">
        <v>13</v>
      </c>
      <c r="D136" t="s">
        <v>34</v>
      </c>
      <c r="E136" t="s">
        <v>44</v>
      </c>
      <c r="F136">
        <v>4</v>
      </c>
      <c r="G136">
        <v>50000</v>
      </c>
      <c r="H136">
        <v>200000</v>
      </c>
      <c r="I136" t="str">
        <f t="shared" si="2"/>
        <v>Feb</v>
      </c>
    </row>
    <row r="137" spans="1:9" x14ac:dyDescent="0.35">
      <c r="A137" t="s">
        <v>116</v>
      </c>
      <c r="B137">
        <v>1136</v>
      </c>
      <c r="C137" t="s">
        <v>17</v>
      </c>
      <c r="D137" t="s">
        <v>34</v>
      </c>
      <c r="E137" t="s">
        <v>11</v>
      </c>
      <c r="F137">
        <v>3</v>
      </c>
      <c r="G137">
        <v>15000</v>
      </c>
      <c r="H137">
        <v>45000</v>
      </c>
      <c r="I137" t="str">
        <f t="shared" si="2"/>
        <v>Feb</v>
      </c>
    </row>
    <row r="138" spans="1:9" x14ac:dyDescent="0.35">
      <c r="A138" t="s">
        <v>38</v>
      </c>
      <c r="B138">
        <v>1137</v>
      </c>
      <c r="C138" t="s">
        <v>13</v>
      </c>
      <c r="D138" t="s">
        <v>21</v>
      </c>
      <c r="E138" t="s">
        <v>15</v>
      </c>
      <c r="F138">
        <v>1</v>
      </c>
      <c r="G138">
        <v>2000</v>
      </c>
      <c r="H138">
        <v>2000</v>
      </c>
      <c r="I138" t="str">
        <f t="shared" si="2"/>
        <v>Jun</v>
      </c>
    </row>
    <row r="139" spans="1:9" x14ac:dyDescent="0.35">
      <c r="A139" t="s">
        <v>23</v>
      </c>
      <c r="B139">
        <v>1138</v>
      </c>
      <c r="C139" t="s">
        <v>17</v>
      </c>
      <c r="D139" t="s">
        <v>21</v>
      </c>
      <c r="E139" t="s">
        <v>24</v>
      </c>
      <c r="F139">
        <v>5</v>
      </c>
      <c r="G139">
        <v>20000</v>
      </c>
      <c r="H139">
        <v>100000</v>
      </c>
      <c r="I139" t="str">
        <f t="shared" si="2"/>
        <v>Mar</v>
      </c>
    </row>
    <row r="140" spans="1:9" x14ac:dyDescent="0.35">
      <c r="A140" t="s">
        <v>40</v>
      </c>
      <c r="B140">
        <v>1139</v>
      </c>
      <c r="C140" t="s">
        <v>17</v>
      </c>
      <c r="D140" t="s">
        <v>21</v>
      </c>
      <c r="E140" t="s">
        <v>44</v>
      </c>
      <c r="F140">
        <v>2</v>
      </c>
      <c r="G140">
        <v>50000</v>
      </c>
      <c r="H140">
        <v>100000</v>
      </c>
      <c r="I140" t="str">
        <f t="shared" si="2"/>
        <v>Apr</v>
      </c>
    </row>
    <row r="141" spans="1:9" x14ac:dyDescent="0.35">
      <c r="A141" t="s">
        <v>117</v>
      </c>
      <c r="B141">
        <v>1140</v>
      </c>
      <c r="C141" t="s">
        <v>17</v>
      </c>
      <c r="D141" t="s">
        <v>14</v>
      </c>
      <c r="E141" t="s">
        <v>29</v>
      </c>
      <c r="F141">
        <v>2</v>
      </c>
      <c r="G141">
        <v>4000</v>
      </c>
      <c r="H141">
        <v>8000</v>
      </c>
      <c r="I141" t="str">
        <f t="shared" si="2"/>
        <v>Jun</v>
      </c>
    </row>
    <row r="142" spans="1:9" x14ac:dyDescent="0.35">
      <c r="A142" t="s">
        <v>118</v>
      </c>
      <c r="B142">
        <v>1141</v>
      </c>
      <c r="C142" t="s">
        <v>13</v>
      </c>
      <c r="D142" t="s">
        <v>21</v>
      </c>
      <c r="E142" t="s">
        <v>24</v>
      </c>
      <c r="F142">
        <v>4</v>
      </c>
      <c r="G142">
        <v>20000</v>
      </c>
      <c r="H142">
        <v>80000</v>
      </c>
      <c r="I142" t="str">
        <f t="shared" si="2"/>
        <v>Jan</v>
      </c>
    </row>
    <row r="143" spans="1:9" x14ac:dyDescent="0.35">
      <c r="A143" t="s">
        <v>94</v>
      </c>
      <c r="B143">
        <v>1142</v>
      </c>
      <c r="C143" t="s">
        <v>9</v>
      </c>
      <c r="D143" t="s">
        <v>14</v>
      </c>
      <c r="E143" t="s">
        <v>44</v>
      </c>
      <c r="F143">
        <v>1</v>
      </c>
      <c r="G143">
        <v>50000</v>
      </c>
      <c r="H143">
        <v>50000</v>
      </c>
      <c r="I143" t="str">
        <f t="shared" si="2"/>
        <v>Apr</v>
      </c>
    </row>
    <row r="144" spans="1:9" x14ac:dyDescent="0.35">
      <c r="A144" t="s">
        <v>119</v>
      </c>
      <c r="B144">
        <v>1143</v>
      </c>
      <c r="C144" t="s">
        <v>13</v>
      </c>
      <c r="D144" t="s">
        <v>21</v>
      </c>
      <c r="E144" t="s">
        <v>27</v>
      </c>
      <c r="F144">
        <v>3</v>
      </c>
      <c r="G144">
        <v>30000</v>
      </c>
      <c r="H144">
        <v>90000</v>
      </c>
      <c r="I144" t="str">
        <f t="shared" si="2"/>
        <v>Jan</v>
      </c>
    </row>
    <row r="145" spans="1:9" x14ac:dyDescent="0.35">
      <c r="A145" t="s">
        <v>91</v>
      </c>
      <c r="B145">
        <v>1144</v>
      </c>
      <c r="C145" t="s">
        <v>20</v>
      </c>
      <c r="D145" t="s">
        <v>31</v>
      </c>
      <c r="E145" t="s">
        <v>27</v>
      </c>
      <c r="F145">
        <v>4</v>
      </c>
      <c r="G145">
        <v>30000</v>
      </c>
      <c r="H145">
        <v>120000</v>
      </c>
      <c r="I145" t="str">
        <f t="shared" si="2"/>
        <v>Feb</v>
      </c>
    </row>
    <row r="146" spans="1:9" x14ac:dyDescent="0.35">
      <c r="A146" t="s">
        <v>120</v>
      </c>
      <c r="B146">
        <v>1145</v>
      </c>
      <c r="C146" t="s">
        <v>9</v>
      </c>
      <c r="D146" t="s">
        <v>31</v>
      </c>
      <c r="E146" t="s">
        <v>11</v>
      </c>
      <c r="F146">
        <v>2</v>
      </c>
      <c r="G146">
        <v>15000</v>
      </c>
      <c r="H146">
        <v>30000</v>
      </c>
      <c r="I146" t="str">
        <f t="shared" si="2"/>
        <v>Mar</v>
      </c>
    </row>
    <row r="147" spans="1:9" x14ac:dyDescent="0.35">
      <c r="A147" t="s">
        <v>121</v>
      </c>
      <c r="B147">
        <v>1146</v>
      </c>
      <c r="C147" t="s">
        <v>20</v>
      </c>
      <c r="D147" t="s">
        <v>31</v>
      </c>
      <c r="E147" t="s">
        <v>15</v>
      </c>
      <c r="F147">
        <v>5</v>
      </c>
      <c r="G147">
        <v>2000</v>
      </c>
      <c r="H147">
        <v>10000</v>
      </c>
      <c r="I147" t="str">
        <f t="shared" si="2"/>
        <v>Mar</v>
      </c>
    </row>
    <row r="148" spans="1:9" x14ac:dyDescent="0.35">
      <c r="A148" t="s">
        <v>122</v>
      </c>
      <c r="B148">
        <v>1147</v>
      </c>
      <c r="C148" t="s">
        <v>20</v>
      </c>
      <c r="D148" t="s">
        <v>14</v>
      </c>
      <c r="E148" t="s">
        <v>29</v>
      </c>
      <c r="F148">
        <v>4</v>
      </c>
      <c r="G148">
        <v>4000</v>
      </c>
      <c r="H148">
        <v>16000</v>
      </c>
      <c r="I148" t="str">
        <f t="shared" si="2"/>
        <v>Jan</v>
      </c>
    </row>
    <row r="149" spans="1:9" x14ac:dyDescent="0.35">
      <c r="A149" t="s">
        <v>123</v>
      </c>
      <c r="B149">
        <v>1148</v>
      </c>
      <c r="C149" t="s">
        <v>17</v>
      </c>
      <c r="D149" t="s">
        <v>10</v>
      </c>
      <c r="E149" t="s">
        <v>15</v>
      </c>
      <c r="F149">
        <v>1</v>
      </c>
      <c r="G149">
        <v>2000</v>
      </c>
      <c r="H149">
        <v>2000</v>
      </c>
      <c r="I149" t="str">
        <f t="shared" si="2"/>
        <v>Jun</v>
      </c>
    </row>
    <row r="150" spans="1:9" x14ac:dyDescent="0.35">
      <c r="A150" t="s">
        <v>33</v>
      </c>
      <c r="B150">
        <v>1149</v>
      </c>
      <c r="C150" t="s">
        <v>20</v>
      </c>
      <c r="D150" t="s">
        <v>31</v>
      </c>
      <c r="E150" t="s">
        <v>15</v>
      </c>
      <c r="F150">
        <v>4</v>
      </c>
      <c r="G150">
        <v>2000</v>
      </c>
      <c r="H150">
        <v>8000</v>
      </c>
      <c r="I150" t="str">
        <f t="shared" si="2"/>
        <v>Apr</v>
      </c>
    </row>
    <row r="151" spans="1:9" x14ac:dyDescent="0.35">
      <c r="A151" t="s">
        <v>48</v>
      </c>
      <c r="B151">
        <v>1150</v>
      </c>
      <c r="C151" t="s">
        <v>13</v>
      </c>
      <c r="D151" t="s">
        <v>31</v>
      </c>
      <c r="E151" t="s">
        <v>27</v>
      </c>
      <c r="F151">
        <v>3</v>
      </c>
      <c r="G151">
        <v>30000</v>
      </c>
      <c r="H151">
        <v>90000</v>
      </c>
      <c r="I151" t="str">
        <f t="shared" si="2"/>
        <v>Jan</v>
      </c>
    </row>
    <row r="152" spans="1:9" x14ac:dyDescent="0.35">
      <c r="A152" t="s">
        <v>46</v>
      </c>
      <c r="B152">
        <v>1151</v>
      </c>
      <c r="C152" t="s">
        <v>17</v>
      </c>
      <c r="D152" t="s">
        <v>10</v>
      </c>
      <c r="E152" t="s">
        <v>15</v>
      </c>
      <c r="F152">
        <v>4</v>
      </c>
      <c r="G152">
        <v>2000</v>
      </c>
      <c r="H152">
        <v>8000</v>
      </c>
      <c r="I152" t="str">
        <f t="shared" si="2"/>
        <v>Apr</v>
      </c>
    </row>
    <row r="153" spans="1:9" x14ac:dyDescent="0.35">
      <c r="A153" t="s">
        <v>124</v>
      </c>
      <c r="B153">
        <v>1152</v>
      </c>
      <c r="C153" t="s">
        <v>13</v>
      </c>
      <c r="D153" t="s">
        <v>10</v>
      </c>
      <c r="E153" t="s">
        <v>11</v>
      </c>
      <c r="F153">
        <v>4</v>
      </c>
      <c r="G153">
        <v>15000</v>
      </c>
      <c r="H153">
        <v>60000</v>
      </c>
      <c r="I153" t="str">
        <f t="shared" si="2"/>
        <v>Mar</v>
      </c>
    </row>
    <row r="154" spans="1:9" x14ac:dyDescent="0.35">
      <c r="A154" t="s">
        <v>125</v>
      </c>
      <c r="B154">
        <v>1153</v>
      </c>
      <c r="C154" t="s">
        <v>20</v>
      </c>
      <c r="D154" t="s">
        <v>21</v>
      </c>
      <c r="E154" t="s">
        <v>29</v>
      </c>
      <c r="F154">
        <v>4</v>
      </c>
      <c r="G154">
        <v>4000</v>
      </c>
      <c r="H154">
        <v>16000</v>
      </c>
      <c r="I154" t="str">
        <f t="shared" si="2"/>
        <v>Jan</v>
      </c>
    </row>
    <row r="155" spans="1:9" x14ac:dyDescent="0.35">
      <c r="A155" t="s">
        <v>107</v>
      </c>
      <c r="B155">
        <v>1154</v>
      </c>
      <c r="C155" t="s">
        <v>13</v>
      </c>
      <c r="D155" t="s">
        <v>34</v>
      </c>
      <c r="E155" t="s">
        <v>29</v>
      </c>
      <c r="F155">
        <v>1</v>
      </c>
      <c r="G155">
        <v>4000</v>
      </c>
      <c r="H155">
        <v>4000</v>
      </c>
      <c r="I155" t="str">
        <f t="shared" si="2"/>
        <v>Mar</v>
      </c>
    </row>
    <row r="156" spans="1:9" x14ac:dyDescent="0.35">
      <c r="A156" t="s">
        <v>126</v>
      </c>
      <c r="B156">
        <v>1155</v>
      </c>
      <c r="C156" t="s">
        <v>9</v>
      </c>
      <c r="D156" t="s">
        <v>34</v>
      </c>
      <c r="E156" t="s">
        <v>24</v>
      </c>
      <c r="F156">
        <v>3</v>
      </c>
      <c r="G156">
        <v>20000</v>
      </c>
      <c r="H156">
        <v>60000</v>
      </c>
      <c r="I156" t="str">
        <f t="shared" si="2"/>
        <v>Jan</v>
      </c>
    </row>
    <row r="157" spans="1:9" x14ac:dyDescent="0.35">
      <c r="A157" t="s">
        <v>62</v>
      </c>
      <c r="B157">
        <v>1156</v>
      </c>
      <c r="C157" t="s">
        <v>13</v>
      </c>
      <c r="D157" t="s">
        <v>14</v>
      </c>
      <c r="E157" t="s">
        <v>15</v>
      </c>
      <c r="F157">
        <v>5</v>
      </c>
      <c r="G157">
        <v>2000</v>
      </c>
      <c r="H157">
        <v>10000</v>
      </c>
      <c r="I157" t="str">
        <f t="shared" si="2"/>
        <v>Apr</v>
      </c>
    </row>
    <row r="158" spans="1:9" x14ac:dyDescent="0.35">
      <c r="A158" t="s">
        <v>98</v>
      </c>
      <c r="B158">
        <v>1157</v>
      </c>
      <c r="C158" t="s">
        <v>9</v>
      </c>
      <c r="D158" t="s">
        <v>21</v>
      </c>
      <c r="E158" t="s">
        <v>44</v>
      </c>
      <c r="F158">
        <v>2</v>
      </c>
      <c r="G158">
        <v>50000</v>
      </c>
      <c r="H158">
        <v>100000</v>
      </c>
      <c r="I158" t="str">
        <f t="shared" si="2"/>
        <v>May</v>
      </c>
    </row>
    <row r="159" spans="1:9" x14ac:dyDescent="0.35">
      <c r="A159" t="s">
        <v>69</v>
      </c>
      <c r="B159">
        <v>1158</v>
      </c>
      <c r="C159" t="s">
        <v>13</v>
      </c>
      <c r="D159" t="s">
        <v>10</v>
      </c>
      <c r="E159" t="s">
        <v>11</v>
      </c>
      <c r="F159">
        <v>4</v>
      </c>
      <c r="G159">
        <v>15000</v>
      </c>
      <c r="H159">
        <v>60000</v>
      </c>
      <c r="I159" t="str">
        <f t="shared" si="2"/>
        <v>Apr</v>
      </c>
    </row>
    <row r="160" spans="1:9" x14ac:dyDescent="0.35">
      <c r="A160" t="s">
        <v>127</v>
      </c>
      <c r="B160">
        <v>1159</v>
      </c>
      <c r="C160" t="s">
        <v>9</v>
      </c>
      <c r="D160" t="s">
        <v>21</v>
      </c>
      <c r="E160" t="s">
        <v>27</v>
      </c>
      <c r="F160">
        <v>4</v>
      </c>
      <c r="G160">
        <v>30000</v>
      </c>
      <c r="H160">
        <v>120000</v>
      </c>
      <c r="I160" t="str">
        <f t="shared" si="2"/>
        <v>May</v>
      </c>
    </row>
    <row r="161" spans="1:9" x14ac:dyDescent="0.35">
      <c r="A161" t="s">
        <v>128</v>
      </c>
      <c r="B161">
        <v>1160</v>
      </c>
      <c r="C161" t="s">
        <v>20</v>
      </c>
      <c r="D161" t="s">
        <v>10</v>
      </c>
      <c r="E161" t="s">
        <v>27</v>
      </c>
      <c r="F161">
        <v>1</v>
      </c>
      <c r="G161">
        <v>30000</v>
      </c>
      <c r="H161">
        <v>30000</v>
      </c>
      <c r="I161" t="str">
        <f t="shared" si="2"/>
        <v>May</v>
      </c>
    </row>
    <row r="162" spans="1:9" x14ac:dyDescent="0.35">
      <c r="A162" t="s">
        <v>53</v>
      </c>
      <c r="B162">
        <v>1161</v>
      </c>
      <c r="C162" t="s">
        <v>13</v>
      </c>
      <c r="D162" t="s">
        <v>18</v>
      </c>
      <c r="E162" t="s">
        <v>29</v>
      </c>
      <c r="F162">
        <v>4</v>
      </c>
      <c r="G162">
        <v>4000</v>
      </c>
      <c r="H162">
        <v>16000</v>
      </c>
      <c r="I162" t="str">
        <f t="shared" si="2"/>
        <v>Mar</v>
      </c>
    </row>
    <row r="163" spans="1:9" x14ac:dyDescent="0.35">
      <c r="A163" t="s">
        <v>106</v>
      </c>
      <c r="B163">
        <v>1162</v>
      </c>
      <c r="C163" t="s">
        <v>20</v>
      </c>
      <c r="D163" t="s">
        <v>34</v>
      </c>
      <c r="E163" t="s">
        <v>29</v>
      </c>
      <c r="F163">
        <v>3</v>
      </c>
      <c r="G163">
        <v>4000</v>
      </c>
      <c r="H163">
        <v>12000</v>
      </c>
      <c r="I163" t="str">
        <f t="shared" si="2"/>
        <v>Jun</v>
      </c>
    </row>
    <row r="164" spans="1:9" x14ac:dyDescent="0.35">
      <c r="A164" t="s">
        <v>129</v>
      </c>
      <c r="B164">
        <v>1163</v>
      </c>
      <c r="C164" t="s">
        <v>9</v>
      </c>
      <c r="D164" t="s">
        <v>34</v>
      </c>
      <c r="E164" t="s">
        <v>24</v>
      </c>
      <c r="F164">
        <v>1</v>
      </c>
      <c r="G164">
        <v>20000</v>
      </c>
      <c r="H164">
        <v>20000</v>
      </c>
      <c r="I164" t="str">
        <f t="shared" si="2"/>
        <v>Mar</v>
      </c>
    </row>
    <row r="165" spans="1:9" x14ac:dyDescent="0.35">
      <c r="A165" t="s">
        <v>78</v>
      </c>
      <c r="B165">
        <v>1164</v>
      </c>
      <c r="C165" t="s">
        <v>20</v>
      </c>
      <c r="D165" t="s">
        <v>18</v>
      </c>
      <c r="E165" t="s">
        <v>29</v>
      </c>
      <c r="F165">
        <v>2</v>
      </c>
      <c r="G165">
        <v>4000</v>
      </c>
      <c r="H165">
        <v>8000</v>
      </c>
      <c r="I165" t="str">
        <f t="shared" si="2"/>
        <v>Apr</v>
      </c>
    </row>
    <row r="166" spans="1:9" x14ac:dyDescent="0.35">
      <c r="A166" t="s">
        <v>58</v>
      </c>
      <c r="B166">
        <v>1165</v>
      </c>
      <c r="C166" t="s">
        <v>13</v>
      </c>
      <c r="D166" t="s">
        <v>10</v>
      </c>
      <c r="E166" t="s">
        <v>29</v>
      </c>
      <c r="F166">
        <v>5</v>
      </c>
      <c r="G166">
        <v>4000</v>
      </c>
      <c r="H166">
        <v>20000</v>
      </c>
      <c r="I166" t="str">
        <f t="shared" si="2"/>
        <v>Jun</v>
      </c>
    </row>
    <row r="167" spans="1:9" x14ac:dyDescent="0.35">
      <c r="A167" t="s">
        <v>61</v>
      </c>
      <c r="B167">
        <v>1166</v>
      </c>
      <c r="C167" t="s">
        <v>9</v>
      </c>
      <c r="D167" t="s">
        <v>34</v>
      </c>
      <c r="E167" t="s">
        <v>15</v>
      </c>
      <c r="F167">
        <v>4</v>
      </c>
      <c r="G167">
        <v>2000</v>
      </c>
      <c r="H167">
        <v>8000</v>
      </c>
      <c r="I167" t="str">
        <f t="shared" si="2"/>
        <v>Apr</v>
      </c>
    </row>
    <row r="168" spans="1:9" x14ac:dyDescent="0.35">
      <c r="A168" t="s">
        <v>94</v>
      </c>
      <c r="B168">
        <v>1167</v>
      </c>
      <c r="C168" t="s">
        <v>20</v>
      </c>
      <c r="D168" t="s">
        <v>34</v>
      </c>
      <c r="E168" t="s">
        <v>15</v>
      </c>
      <c r="F168">
        <v>2</v>
      </c>
      <c r="G168">
        <v>2000</v>
      </c>
      <c r="H168">
        <v>4000</v>
      </c>
      <c r="I168" t="str">
        <f t="shared" si="2"/>
        <v>Apr</v>
      </c>
    </row>
    <row r="169" spans="1:9" x14ac:dyDescent="0.35">
      <c r="A169" t="s">
        <v>130</v>
      </c>
      <c r="B169">
        <v>1168</v>
      </c>
      <c r="C169" t="s">
        <v>9</v>
      </c>
      <c r="D169" t="s">
        <v>14</v>
      </c>
      <c r="E169" t="s">
        <v>44</v>
      </c>
      <c r="F169">
        <v>1</v>
      </c>
      <c r="G169">
        <v>50000</v>
      </c>
      <c r="H169">
        <v>50000</v>
      </c>
      <c r="I169" t="str">
        <f t="shared" si="2"/>
        <v>Jun</v>
      </c>
    </row>
    <row r="170" spans="1:9" x14ac:dyDescent="0.35">
      <c r="A170" t="s">
        <v>99</v>
      </c>
      <c r="B170">
        <v>1169</v>
      </c>
      <c r="C170" t="s">
        <v>9</v>
      </c>
      <c r="D170" t="s">
        <v>34</v>
      </c>
      <c r="E170" t="s">
        <v>11</v>
      </c>
      <c r="F170">
        <v>3</v>
      </c>
      <c r="G170">
        <v>15000</v>
      </c>
      <c r="H170">
        <v>45000</v>
      </c>
      <c r="I170" t="str">
        <f t="shared" si="2"/>
        <v>May</v>
      </c>
    </row>
    <row r="171" spans="1:9" x14ac:dyDescent="0.35">
      <c r="A171" t="s">
        <v>39</v>
      </c>
      <c r="B171">
        <v>1170</v>
      </c>
      <c r="C171" t="s">
        <v>17</v>
      </c>
      <c r="D171" t="s">
        <v>34</v>
      </c>
      <c r="E171" t="s">
        <v>44</v>
      </c>
      <c r="F171">
        <v>1</v>
      </c>
      <c r="G171">
        <v>50000</v>
      </c>
      <c r="H171">
        <v>50000</v>
      </c>
      <c r="I171" t="str">
        <f t="shared" si="2"/>
        <v>Apr</v>
      </c>
    </row>
    <row r="172" spans="1:9" x14ac:dyDescent="0.35">
      <c r="A172" t="s">
        <v>120</v>
      </c>
      <c r="B172">
        <v>1171</v>
      </c>
      <c r="C172" t="s">
        <v>17</v>
      </c>
      <c r="D172" t="s">
        <v>31</v>
      </c>
      <c r="E172" t="s">
        <v>44</v>
      </c>
      <c r="F172">
        <v>2</v>
      </c>
      <c r="G172">
        <v>50000</v>
      </c>
      <c r="H172">
        <v>100000</v>
      </c>
      <c r="I172" t="str">
        <f t="shared" si="2"/>
        <v>Mar</v>
      </c>
    </row>
    <row r="173" spans="1:9" x14ac:dyDescent="0.35">
      <c r="A173" t="s">
        <v>130</v>
      </c>
      <c r="B173">
        <v>1172</v>
      </c>
      <c r="C173" t="s">
        <v>13</v>
      </c>
      <c r="D173" t="s">
        <v>18</v>
      </c>
      <c r="E173" t="s">
        <v>44</v>
      </c>
      <c r="F173">
        <v>1</v>
      </c>
      <c r="G173">
        <v>50000</v>
      </c>
      <c r="H173">
        <v>50000</v>
      </c>
      <c r="I173" t="str">
        <f t="shared" si="2"/>
        <v>Jun</v>
      </c>
    </row>
    <row r="174" spans="1:9" x14ac:dyDescent="0.35">
      <c r="A174" t="s">
        <v>75</v>
      </c>
      <c r="B174">
        <v>1173</v>
      </c>
      <c r="C174" t="s">
        <v>9</v>
      </c>
      <c r="D174" t="s">
        <v>34</v>
      </c>
      <c r="E174" t="s">
        <v>11</v>
      </c>
      <c r="F174">
        <v>4</v>
      </c>
      <c r="G174">
        <v>15000</v>
      </c>
      <c r="H174">
        <v>60000</v>
      </c>
      <c r="I174" t="str">
        <f t="shared" si="2"/>
        <v>Mar</v>
      </c>
    </row>
    <row r="175" spans="1:9" x14ac:dyDescent="0.35">
      <c r="A175" t="s">
        <v>131</v>
      </c>
      <c r="B175">
        <v>1174</v>
      </c>
      <c r="C175" t="s">
        <v>20</v>
      </c>
      <c r="D175" t="s">
        <v>31</v>
      </c>
      <c r="E175" t="s">
        <v>29</v>
      </c>
      <c r="F175">
        <v>2</v>
      </c>
      <c r="G175">
        <v>4000</v>
      </c>
      <c r="H175">
        <v>8000</v>
      </c>
      <c r="I175" t="str">
        <f t="shared" si="2"/>
        <v>Apr</v>
      </c>
    </row>
    <row r="176" spans="1:9" x14ac:dyDescent="0.35">
      <c r="A176" t="s">
        <v>102</v>
      </c>
      <c r="B176">
        <v>1175</v>
      </c>
      <c r="C176" t="s">
        <v>13</v>
      </c>
      <c r="D176" t="s">
        <v>31</v>
      </c>
      <c r="E176" t="s">
        <v>27</v>
      </c>
      <c r="F176">
        <v>5</v>
      </c>
      <c r="G176">
        <v>30000</v>
      </c>
      <c r="H176">
        <v>150000</v>
      </c>
      <c r="I176" t="str">
        <f t="shared" si="2"/>
        <v>Feb</v>
      </c>
    </row>
    <row r="177" spans="1:9" x14ac:dyDescent="0.35">
      <c r="A177" t="s">
        <v>28</v>
      </c>
      <c r="B177">
        <v>1176</v>
      </c>
      <c r="C177" t="s">
        <v>20</v>
      </c>
      <c r="D177" t="s">
        <v>14</v>
      </c>
      <c r="E177" t="s">
        <v>29</v>
      </c>
      <c r="F177">
        <v>1</v>
      </c>
      <c r="G177">
        <v>4000</v>
      </c>
      <c r="H177">
        <v>4000</v>
      </c>
      <c r="I177" t="str">
        <f t="shared" si="2"/>
        <v>Feb</v>
      </c>
    </row>
    <row r="178" spans="1:9" x14ac:dyDescent="0.35">
      <c r="A178" t="s">
        <v>69</v>
      </c>
      <c r="B178">
        <v>1177</v>
      </c>
      <c r="C178" t="s">
        <v>17</v>
      </c>
      <c r="D178" t="s">
        <v>31</v>
      </c>
      <c r="E178" t="s">
        <v>27</v>
      </c>
      <c r="F178">
        <v>2</v>
      </c>
      <c r="G178">
        <v>30000</v>
      </c>
      <c r="H178">
        <v>60000</v>
      </c>
      <c r="I178" t="str">
        <f t="shared" si="2"/>
        <v>Apr</v>
      </c>
    </row>
    <row r="179" spans="1:9" x14ac:dyDescent="0.35">
      <c r="A179" t="s">
        <v>42</v>
      </c>
      <c r="B179">
        <v>1178</v>
      </c>
      <c r="C179" t="s">
        <v>9</v>
      </c>
      <c r="D179" t="s">
        <v>18</v>
      </c>
      <c r="E179" t="s">
        <v>29</v>
      </c>
      <c r="F179">
        <v>1</v>
      </c>
      <c r="G179">
        <v>4000</v>
      </c>
      <c r="H179">
        <v>4000</v>
      </c>
      <c r="I179" t="str">
        <f t="shared" si="2"/>
        <v>Jan</v>
      </c>
    </row>
    <row r="180" spans="1:9" x14ac:dyDescent="0.35">
      <c r="A180" t="s">
        <v>95</v>
      </c>
      <c r="B180">
        <v>1179</v>
      </c>
      <c r="C180" t="s">
        <v>13</v>
      </c>
      <c r="D180" t="s">
        <v>18</v>
      </c>
      <c r="E180" t="s">
        <v>11</v>
      </c>
      <c r="F180">
        <v>1</v>
      </c>
      <c r="G180">
        <v>15000</v>
      </c>
      <c r="H180">
        <v>15000</v>
      </c>
      <c r="I180" t="str">
        <f t="shared" si="2"/>
        <v>Feb</v>
      </c>
    </row>
    <row r="181" spans="1:9" x14ac:dyDescent="0.35">
      <c r="A181" t="s">
        <v>95</v>
      </c>
      <c r="B181">
        <v>1180</v>
      </c>
      <c r="C181" t="s">
        <v>13</v>
      </c>
      <c r="D181" t="s">
        <v>31</v>
      </c>
      <c r="E181" t="s">
        <v>11</v>
      </c>
      <c r="F181">
        <v>2</v>
      </c>
      <c r="G181">
        <v>15000</v>
      </c>
      <c r="H181">
        <v>30000</v>
      </c>
      <c r="I181" t="str">
        <f t="shared" si="2"/>
        <v>Feb</v>
      </c>
    </row>
    <row r="182" spans="1:9" x14ac:dyDescent="0.35">
      <c r="A182" t="s">
        <v>81</v>
      </c>
      <c r="B182">
        <v>1181</v>
      </c>
      <c r="C182" t="s">
        <v>17</v>
      </c>
      <c r="D182" t="s">
        <v>21</v>
      </c>
      <c r="E182" t="s">
        <v>44</v>
      </c>
      <c r="F182">
        <v>4</v>
      </c>
      <c r="G182">
        <v>50000</v>
      </c>
      <c r="H182">
        <v>200000</v>
      </c>
      <c r="I182" t="str">
        <f t="shared" si="2"/>
        <v>Feb</v>
      </c>
    </row>
    <row r="183" spans="1:9" x14ac:dyDescent="0.35">
      <c r="A183" t="s">
        <v>8</v>
      </c>
      <c r="B183">
        <v>1182</v>
      </c>
      <c r="C183" t="s">
        <v>13</v>
      </c>
      <c r="D183" t="s">
        <v>14</v>
      </c>
      <c r="E183" t="s">
        <v>44</v>
      </c>
      <c r="F183">
        <v>2</v>
      </c>
      <c r="G183">
        <v>50000</v>
      </c>
      <c r="H183">
        <v>100000</v>
      </c>
      <c r="I183" t="str">
        <f t="shared" si="2"/>
        <v>May</v>
      </c>
    </row>
    <row r="184" spans="1:9" x14ac:dyDescent="0.35">
      <c r="A184" t="s">
        <v>132</v>
      </c>
      <c r="B184">
        <v>1183</v>
      </c>
      <c r="C184" t="s">
        <v>17</v>
      </c>
      <c r="D184" t="s">
        <v>18</v>
      </c>
      <c r="E184" t="s">
        <v>11</v>
      </c>
      <c r="F184">
        <v>4</v>
      </c>
      <c r="G184">
        <v>15000</v>
      </c>
      <c r="H184">
        <v>60000</v>
      </c>
      <c r="I184" t="str">
        <f t="shared" si="2"/>
        <v>Apr</v>
      </c>
    </row>
    <row r="185" spans="1:9" x14ac:dyDescent="0.35">
      <c r="A185" t="s">
        <v>82</v>
      </c>
      <c r="B185">
        <v>1184</v>
      </c>
      <c r="C185" t="s">
        <v>9</v>
      </c>
      <c r="D185" t="s">
        <v>18</v>
      </c>
      <c r="E185" t="s">
        <v>44</v>
      </c>
      <c r="F185">
        <v>4</v>
      </c>
      <c r="G185">
        <v>50000</v>
      </c>
      <c r="H185">
        <v>200000</v>
      </c>
      <c r="I185" t="str">
        <f t="shared" si="2"/>
        <v>Apr</v>
      </c>
    </row>
    <row r="186" spans="1:9" x14ac:dyDescent="0.35">
      <c r="A186" t="s">
        <v>103</v>
      </c>
      <c r="B186">
        <v>1185</v>
      </c>
      <c r="C186" t="s">
        <v>13</v>
      </c>
      <c r="D186" t="s">
        <v>31</v>
      </c>
      <c r="E186" t="s">
        <v>24</v>
      </c>
      <c r="F186">
        <v>2</v>
      </c>
      <c r="G186">
        <v>20000</v>
      </c>
      <c r="H186">
        <v>40000</v>
      </c>
      <c r="I186" t="str">
        <f t="shared" si="2"/>
        <v>Mar</v>
      </c>
    </row>
    <row r="187" spans="1:9" x14ac:dyDescent="0.35">
      <c r="A187" t="s">
        <v>133</v>
      </c>
      <c r="B187">
        <v>1186</v>
      </c>
      <c r="C187" t="s">
        <v>17</v>
      </c>
      <c r="D187" t="s">
        <v>14</v>
      </c>
      <c r="E187" t="s">
        <v>24</v>
      </c>
      <c r="F187">
        <v>5</v>
      </c>
      <c r="G187">
        <v>20000</v>
      </c>
      <c r="H187">
        <v>100000</v>
      </c>
      <c r="I187" t="str">
        <f t="shared" si="2"/>
        <v>Jan</v>
      </c>
    </row>
    <row r="188" spans="1:9" x14ac:dyDescent="0.35">
      <c r="A188" t="s">
        <v>134</v>
      </c>
      <c r="B188">
        <v>1187</v>
      </c>
      <c r="C188" t="s">
        <v>9</v>
      </c>
      <c r="D188" t="s">
        <v>31</v>
      </c>
      <c r="E188" t="s">
        <v>27</v>
      </c>
      <c r="F188">
        <v>2</v>
      </c>
      <c r="G188">
        <v>30000</v>
      </c>
      <c r="H188">
        <v>60000</v>
      </c>
      <c r="I188" t="str">
        <f t="shared" si="2"/>
        <v>Apr</v>
      </c>
    </row>
    <row r="189" spans="1:9" x14ac:dyDescent="0.35">
      <c r="A189" t="s">
        <v>53</v>
      </c>
      <c r="B189">
        <v>1188</v>
      </c>
      <c r="C189" t="s">
        <v>13</v>
      </c>
      <c r="D189" t="s">
        <v>18</v>
      </c>
      <c r="E189" t="s">
        <v>27</v>
      </c>
      <c r="F189">
        <v>1</v>
      </c>
      <c r="G189">
        <v>30000</v>
      </c>
      <c r="H189">
        <v>30000</v>
      </c>
      <c r="I189" t="str">
        <f t="shared" si="2"/>
        <v>Mar</v>
      </c>
    </row>
    <row r="190" spans="1:9" x14ac:dyDescent="0.35">
      <c r="A190" t="s">
        <v>95</v>
      </c>
      <c r="B190">
        <v>1189</v>
      </c>
      <c r="C190" t="s">
        <v>9</v>
      </c>
      <c r="D190" t="s">
        <v>14</v>
      </c>
      <c r="E190" t="s">
        <v>29</v>
      </c>
      <c r="F190">
        <v>5</v>
      </c>
      <c r="G190">
        <v>4000</v>
      </c>
      <c r="H190">
        <v>20000</v>
      </c>
      <c r="I190" t="str">
        <f t="shared" si="2"/>
        <v>Feb</v>
      </c>
    </row>
    <row r="191" spans="1:9" x14ac:dyDescent="0.35">
      <c r="A191" t="s">
        <v>83</v>
      </c>
      <c r="B191">
        <v>1190</v>
      </c>
      <c r="C191" t="s">
        <v>17</v>
      </c>
      <c r="D191" t="s">
        <v>21</v>
      </c>
      <c r="E191" t="s">
        <v>29</v>
      </c>
      <c r="F191">
        <v>3</v>
      </c>
      <c r="G191">
        <v>4000</v>
      </c>
      <c r="H191">
        <v>12000</v>
      </c>
      <c r="I191" t="str">
        <f t="shared" si="2"/>
        <v>Jun</v>
      </c>
    </row>
    <row r="192" spans="1:9" x14ac:dyDescent="0.35">
      <c r="A192" t="s">
        <v>135</v>
      </c>
      <c r="B192">
        <v>1191</v>
      </c>
      <c r="C192" t="s">
        <v>13</v>
      </c>
      <c r="D192" t="s">
        <v>18</v>
      </c>
      <c r="E192" t="s">
        <v>27</v>
      </c>
      <c r="F192">
        <v>3</v>
      </c>
      <c r="G192">
        <v>30000</v>
      </c>
      <c r="H192">
        <v>90000</v>
      </c>
      <c r="I192" t="str">
        <f t="shared" si="2"/>
        <v>May</v>
      </c>
    </row>
    <row r="193" spans="1:9" x14ac:dyDescent="0.35">
      <c r="A193" t="s">
        <v>136</v>
      </c>
      <c r="B193">
        <v>1192</v>
      </c>
      <c r="C193" t="s">
        <v>20</v>
      </c>
      <c r="D193" t="s">
        <v>18</v>
      </c>
      <c r="E193" t="s">
        <v>24</v>
      </c>
      <c r="F193">
        <v>1</v>
      </c>
      <c r="G193">
        <v>20000</v>
      </c>
      <c r="H193">
        <v>20000</v>
      </c>
      <c r="I193" t="str">
        <f t="shared" si="2"/>
        <v>May</v>
      </c>
    </row>
    <row r="194" spans="1:9" x14ac:dyDescent="0.35">
      <c r="A194" t="s">
        <v>111</v>
      </c>
      <c r="B194">
        <v>1193</v>
      </c>
      <c r="C194" t="s">
        <v>9</v>
      </c>
      <c r="D194" t="s">
        <v>31</v>
      </c>
      <c r="E194" t="s">
        <v>11</v>
      </c>
      <c r="F194">
        <v>5</v>
      </c>
      <c r="G194">
        <v>15000</v>
      </c>
      <c r="H194">
        <v>75000</v>
      </c>
      <c r="I194" t="str">
        <f t="shared" ref="I194:I257" si="3">TEXT(A194,"mmm")</f>
        <v>Apr</v>
      </c>
    </row>
    <row r="195" spans="1:9" x14ac:dyDescent="0.35">
      <c r="A195" t="s">
        <v>137</v>
      </c>
      <c r="B195">
        <v>1194</v>
      </c>
      <c r="C195" t="s">
        <v>20</v>
      </c>
      <c r="D195" t="s">
        <v>10</v>
      </c>
      <c r="E195" t="s">
        <v>24</v>
      </c>
      <c r="F195">
        <v>3</v>
      </c>
      <c r="G195">
        <v>20000</v>
      </c>
      <c r="H195">
        <v>60000</v>
      </c>
      <c r="I195" t="str">
        <f t="shared" si="3"/>
        <v>Apr</v>
      </c>
    </row>
    <row r="196" spans="1:9" x14ac:dyDescent="0.35">
      <c r="A196" t="s">
        <v>103</v>
      </c>
      <c r="B196">
        <v>1195</v>
      </c>
      <c r="C196" t="s">
        <v>13</v>
      </c>
      <c r="D196" t="s">
        <v>14</v>
      </c>
      <c r="E196" t="s">
        <v>11</v>
      </c>
      <c r="F196">
        <v>1</v>
      </c>
      <c r="G196">
        <v>15000</v>
      </c>
      <c r="H196">
        <v>15000</v>
      </c>
      <c r="I196" t="str">
        <f t="shared" si="3"/>
        <v>Mar</v>
      </c>
    </row>
    <row r="197" spans="1:9" x14ac:dyDescent="0.35">
      <c r="A197" t="s">
        <v>137</v>
      </c>
      <c r="B197">
        <v>1196</v>
      </c>
      <c r="C197" t="s">
        <v>17</v>
      </c>
      <c r="D197" t="s">
        <v>21</v>
      </c>
      <c r="E197" t="s">
        <v>11</v>
      </c>
      <c r="F197">
        <v>2</v>
      </c>
      <c r="G197">
        <v>15000</v>
      </c>
      <c r="H197">
        <v>30000</v>
      </c>
      <c r="I197" t="str">
        <f t="shared" si="3"/>
        <v>Apr</v>
      </c>
    </row>
    <row r="198" spans="1:9" x14ac:dyDescent="0.35">
      <c r="A198" t="s">
        <v>39</v>
      </c>
      <c r="B198">
        <v>1197</v>
      </c>
      <c r="C198" t="s">
        <v>13</v>
      </c>
      <c r="D198" t="s">
        <v>10</v>
      </c>
      <c r="E198" t="s">
        <v>27</v>
      </c>
      <c r="F198">
        <v>5</v>
      </c>
      <c r="G198">
        <v>30000</v>
      </c>
      <c r="H198">
        <v>150000</v>
      </c>
      <c r="I198" t="str">
        <f t="shared" si="3"/>
        <v>Apr</v>
      </c>
    </row>
    <row r="199" spans="1:9" x14ac:dyDescent="0.35">
      <c r="A199" t="s">
        <v>16</v>
      </c>
      <c r="B199">
        <v>1198</v>
      </c>
      <c r="C199" t="s">
        <v>17</v>
      </c>
      <c r="D199" t="s">
        <v>31</v>
      </c>
      <c r="E199" t="s">
        <v>27</v>
      </c>
      <c r="F199">
        <v>4</v>
      </c>
      <c r="G199">
        <v>30000</v>
      </c>
      <c r="H199">
        <v>120000</v>
      </c>
      <c r="I199" t="str">
        <f t="shared" si="3"/>
        <v>Mar</v>
      </c>
    </row>
    <row r="200" spans="1:9" x14ac:dyDescent="0.35">
      <c r="A200" t="s">
        <v>88</v>
      </c>
      <c r="B200">
        <v>1199</v>
      </c>
      <c r="C200" t="s">
        <v>13</v>
      </c>
      <c r="D200" t="s">
        <v>10</v>
      </c>
      <c r="E200" t="s">
        <v>15</v>
      </c>
      <c r="F200">
        <v>2</v>
      </c>
      <c r="G200">
        <v>2000</v>
      </c>
      <c r="H200">
        <v>4000</v>
      </c>
      <c r="I200" t="str">
        <f t="shared" si="3"/>
        <v>Apr</v>
      </c>
    </row>
    <row r="201" spans="1:9" x14ac:dyDescent="0.35">
      <c r="A201" t="s">
        <v>138</v>
      </c>
      <c r="B201">
        <v>1200</v>
      </c>
      <c r="C201" t="s">
        <v>13</v>
      </c>
      <c r="D201" t="s">
        <v>10</v>
      </c>
      <c r="E201" t="s">
        <v>24</v>
      </c>
      <c r="F201">
        <v>1</v>
      </c>
      <c r="G201">
        <v>20000</v>
      </c>
      <c r="H201">
        <v>20000</v>
      </c>
      <c r="I201" t="str">
        <f t="shared" si="3"/>
        <v>May</v>
      </c>
    </row>
    <row r="202" spans="1:9" x14ac:dyDescent="0.35">
      <c r="A202" t="s">
        <v>139</v>
      </c>
      <c r="B202">
        <v>1201</v>
      </c>
      <c r="C202" t="s">
        <v>13</v>
      </c>
      <c r="D202" t="s">
        <v>21</v>
      </c>
      <c r="E202" t="s">
        <v>24</v>
      </c>
      <c r="F202">
        <v>1</v>
      </c>
      <c r="G202">
        <v>20000</v>
      </c>
      <c r="H202">
        <v>20000</v>
      </c>
      <c r="I202" t="str">
        <f t="shared" si="3"/>
        <v>Mar</v>
      </c>
    </row>
    <row r="203" spans="1:9" x14ac:dyDescent="0.35">
      <c r="A203" t="s">
        <v>119</v>
      </c>
      <c r="B203">
        <v>1202</v>
      </c>
      <c r="C203" t="s">
        <v>13</v>
      </c>
      <c r="D203" t="s">
        <v>14</v>
      </c>
      <c r="E203" t="s">
        <v>44</v>
      </c>
      <c r="F203">
        <v>3</v>
      </c>
      <c r="G203">
        <v>50000</v>
      </c>
      <c r="H203">
        <v>150000</v>
      </c>
      <c r="I203" t="str">
        <f t="shared" si="3"/>
        <v>Jan</v>
      </c>
    </row>
    <row r="204" spans="1:9" x14ac:dyDescent="0.35">
      <c r="A204" t="s">
        <v>114</v>
      </c>
      <c r="B204">
        <v>1203</v>
      </c>
      <c r="C204" t="s">
        <v>17</v>
      </c>
      <c r="D204" t="s">
        <v>14</v>
      </c>
      <c r="E204" t="s">
        <v>29</v>
      </c>
      <c r="F204">
        <v>1</v>
      </c>
      <c r="G204">
        <v>4000</v>
      </c>
      <c r="H204">
        <v>4000</v>
      </c>
      <c r="I204" t="str">
        <f t="shared" si="3"/>
        <v>Feb</v>
      </c>
    </row>
    <row r="205" spans="1:9" x14ac:dyDescent="0.35">
      <c r="A205" t="s">
        <v>76</v>
      </c>
      <c r="B205">
        <v>1204</v>
      </c>
      <c r="C205" t="s">
        <v>9</v>
      </c>
      <c r="D205" t="s">
        <v>21</v>
      </c>
      <c r="E205" t="s">
        <v>15</v>
      </c>
      <c r="F205">
        <v>1</v>
      </c>
      <c r="G205">
        <v>2000</v>
      </c>
      <c r="H205">
        <v>2000</v>
      </c>
      <c r="I205" t="str">
        <f t="shared" si="3"/>
        <v>Jun</v>
      </c>
    </row>
    <row r="206" spans="1:9" x14ac:dyDescent="0.35">
      <c r="A206" t="s">
        <v>140</v>
      </c>
      <c r="B206">
        <v>1205</v>
      </c>
      <c r="C206" t="s">
        <v>13</v>
      </c>
      <c r="D206" t="s">
        <v>34</v>
      </c>
      <c r="E206" t="s">
        <v>11</v>
      </c>
      <c r="F206">
        <v>2</v>
      </c>
      <c r="G206">
        <v>15000</v>
      </c>
      <c r="H206">
        <v>30000</v>
      </c>
      <c r="I206" t="str">
        <f t="shared" si="3"/>
        <v>May</v>
      </c>
    </row>
    <row r="207" spans="1:9" x14ac:dyDescent="0.35">
      <c r="A207" t="s">
        <v>104</v>
      </c>
      <c r="B207">
        <v>1206</v>
      </c>
      <c r="C207" t="s">
        <v>20</v>
      </c>
      <c r="D207" t="s">
        <v>34</v>
      </c>
      <c r="E207" t="s">
        <v>44</v>
      </c>
      <c r="F207">
        <v>2</v>
      </c>
      <c r="G207">
        <v>50000</v>
      </c>
      <c r="H207">
        <v>100000</v>
      </c>
      <c r="I207" t="str">
        <f t="shared" si="3"/>
        <v>Jun</v>
      </c>
    </row>
    <row r="208" spans="1:9" x14ac:dyDescent="0.35">
      <c r="A208" t="s">
        <v>141</v>
      </c>
      <c r="B208">
        <v>1207</v>
      </c>
      <c r="C208" t="s">
        <v>9</v>
      </c>
      <c r="D208" t="s">
        <v>31</v>
      </c>
      <c r="E208" t="s">
        <v>29</v>
      </c>
      <c r="F208">
        <v>2</v>
      </c>
      <c r="G208">
        <v>4000</v>
      </c>
      <c r="H208">
        <v>8000</v>
      </c>
      <c r="I208" t="str">
        <f t="shared" si="3"/>
        <v>Feb</v>
      </c>
    </row>
    <row r="209" spans="1:9" x14ac:dyDescent="0.35">
      <c r="A209" t="s">
        <v>136</v>
      </c>
      <c r="B209">
        <v>1208</v>
      </c>
      <c r="C209" t="s">
        <v>20</v>
      </c>
      <c r="D209" t="s">
        <v>10</v>
      </c>
      <c r="E209" t="s">
        <v>27</v>
      </c>
      <c r="F209">
        <v>5</v>
      </c>
      <c r="G209">
        <v>30000</v>
      </c>
      <c r="H209">
        <v>150000</v>
      </c>
      <c r="I209" t="str">
        <f t="shared" si="3"/>
        <v>May</v>
      </c>
    </row>
    <row r="210" spans="1:9" x14ac:dyDescent="0.35">
      <c r="A210" t="s">
        <v>49</v>
      </c>
      <c r="B210">
        <v>1209</v>
      </c>
      <c r="C210" t="s">
        <v>17</v>
      </c>
      <c r="D210" t="s">
        <v>31</v>
      </c>
      <c r="E210" t="s">
        <v>29</v>
      </c>
      <c r="F210">
        <v>3</v>
      </c>
      <c r="G210">
        <v>4000</v>
      </c>
      <c r="H210">
        <v>12000</v>
      </c>
      <c r="I210" t="str">
        <f t="shared" si="3"/>
        <v>Mar</v>
      </c>
    </row>
    <row r="211" spans="1:9" x14ac:dyDescent="0.35">
      <c r="A211" t="s">
        <v>87</v>
      </c>
      <c r="B211">
        <v>1210</v>
      </c>
      <c r="C211" t="s">
        <v>17</v>
      </c>
      <c r="D211" t="s">
        <v>14</v>
      </c>
      <c r="E211" t="s">
        <v>24</v>
      </c>
      <c r="F211">
        <v>2</v>
      </c>
      <c r="G211">
        <v>20000</v>
      </c>
      <c r="H211">
        <v>40000</v>
      </c>
      <c r="I211" t="str">
        <f t="shared" si="3"/>
        <v>May</v>
      </c>
    </row>
    <row r="212" spans="1:9" x14ac:dyDescent="0.35">
      <c r="A212" t="s">
        <v>142</v>
      </c>
      <c r="B212">
        <v>1211</v>
      </c>
      <c r="C212" t="s">
        <v>13</v>
      </c>
      <c r="D212" t="s">
        <v>14</v>
      </c>
      <c r="E212" t="s">
        <v>44</v>
      </c>
      <c r="F212">
        <v>5</v>
      </c>
      <c r="G212">
        <v>50000</v>
      </c>
      <c r="H212">
        <v>250000</v>
      </c>
      <c r="I212" t="str">
        <f t="shared" si="3"/>
        <v>Mar</v>
      </c>
    </row>
    <row r="213" spans="1:9" x14ac:dyDescent="0.35">
      <c r="A213" t="s">
        <v>143</v>
      </c>
      <c r="B213">
        <v>1212</v>
      </c>
      <c r="C213" t="s">
        <v>17</v>
      </c>
      <c r="D213" t="s">
        <v>18</v>
      </c>
      <c r="E213" t="s">
        <v>15</v>
      </c>
      <c r="F213">
        <v>5</v>
      </c>
      <c r="G213">
        <v>2000</v>
      </c>
      <c r="H213">
        <v>10000</v>
      </c>
      <c r="I213" t="str">
        <f t="shared" si="3"/>
        <v>Jun</v>
      </c>
    </row>
    <row r="214" spans="1:9" x14ac:dyDescent="0.35">
      <c r="A214" t="s">
        <v>144</v>
      </c>
      <c r="B214">
        <v>1213</v>
      </c>
      <c r="C214" t="s">
        <v>9</v>
      </c>
      <c r="D214" t="s">
        <v>21</v>
      </c>
      <c r="E214" t="s">
        <v>11</v>
      </c>
      <c r="F214">
        <v>3</v>
      </c>
      <c r="G214">
        <v>15000</v>
      </c>
      <c r="H214">
        <v>45000</v>
      </c>
      <c r="I214" t="str">
        <f t="shared" si="3"/>
        <v>May</v>
      </c>
    </row>
    <row r="215" spans="1:9" x14ac:dyDescent="0.35">
      <c r="A215" t="s">
        <v>145</v>
      </c>
      <c r="B215">
        <v>1214</v>
      </c>
      <c r="C215" t="s">
        <v>9</v>
      </c>
      <c r="D215" t="s">
        <v>34</v>
      </c>
      <c r="E215" t="s">
        <v>27</v>
      </c>
      <c r="F215">
        <v>2</v>
      </c>
      <c r="G215">
        <v>30000</v>
      </c>
      <c r="H215">
        <v>60000</v>
      </c>
      <c r="I215" t="str">
        <f t="shared" si="3"/>
        <v>May</v>
      </c>
    </row>
    <row r="216" spans="1:9" x14ac:dyDescent="0.35">
      <c r="A216" t="s">
        <v>47</v>
      </c>
      <c r="B216">
        <v>1215</v>
      </c>
      <c r="C216" t="s">
        <v>17</v>
      </c>
      <c r="D216" t="s">
        <v>14</v>
      </c>
      <c r="E216" t="s">
        <v>15</v>
      </c>
      <c r="F216">
        <v>1</v>
      </c>
      <c r="G216">
        <v>2000</v>
      </c>
      <c r="H216">
        <v>2000</v>
      </c>
      <c r="I216" t="str">
        <f t="shared" si="3"/>
        <v>Feb</v>
      </c>
    </row>
    <row r="217" spans="1:9" x14ac:dyDescent="0.35">
      <c r="A217" t="s">
        <v>19</v>
      </c>
      <c r="B217">
        <v>1216</v>
      </c>
      <c r="C217" t="s">
        <v>20</v>
      </c>
      <c r="D217" t="s">
        <v>31</v>
      </c>
      <c r="E217" t="s">
        <v>44</v>
      </c>
      <c r="F217">
        <v>2</v>
      </c>
      <c r="G217">
        <v>50000</v>
      </c>
      <c r="H217">
        <v>100000</v>
      </c>
      <c r="I217" t="str">
        <f t="shared" si="3"/>
        <v>Jan</v>
      </c>
    </row>
    <row r="218" spans="1:9" x14ac:dyDescent="0.35">
      <c r="A218" t="s">
        <v>19</v>
      </c>
      <c r="B218">
        <v>1217</v>
      </c>
      <c r="C218" t="s">
        <v>20</v>
      </c>
      <c r="D218" t="s">
        <v>18</v>
      </c>
      <c r="E218" t="s">
        <v>29</v>
      </c>
      <c r="F218">
        <v>5</v>
      </c>
      <c r="G218">
        <v>4000</v>
      </c>
      <c r="H218">
        <v>20000</v>
      </c>
      <c r="I218" t="str">
        <f t="shared" si="3"/>
        <v>Jan</v>
      </c>
    </row>
    <row r="219" spans="1:9" x14ac:dyDescent="0.35">
      <c r="A219" t="s">
        <v>69</v>
      </c>
      <c r="B219">
        <v>1218</v>
      </c>
      <c r="C219" t="s">
        <v>13</v>
      </c>
      <c r="D219" t="s">
        <v>18</v>
      </c>
      <c r="E219" t="s">
        <v>29</v>
      </c>
      <c r="F219">
        <v>2</v>
      </c>
      <c r="G219">
        <v>4000</v>
      </c>
      <c r="H219">
        <v>8000</v>
      </c>
      <c r="I219" t="str">
        <f t="shared" si="3"/>
        <v>Apr</v>
      </c>
    </row>
    <row r="220" spans="1:9" x14ac:dyDescent="0.35">
      <c r="A220" t="s">
        <v>146</v>
      </c>
      <c r="B220">
        <v>1219</v>
      </c>
      <c r="C220" t="s">
        <v>9</v>
      </c>
      <c r="D220" t="s">
        <v>18</v>
      </c>
      <c r="E220" t="s">
        <v>24</v>
      </c>
      <c r="F220">
        <v>4</v>
      </c>
      <c r="G220">
        <v>20000</v>
      </c>
      <c r="H220">
        <v>80000</v>
      </c>
      <c r="I220" t="str">
        <f t="shared" si="3"/>
        <v>Feb</v>
      </c>
    </row>
    <row r="221" spans="1:9" x14ac:dyDescent="0.35">
      <c r="A221" t="s">
        <v>79</v>
      </c>
      <c r="B221">
        <v>1220</v>
      </c>
      <c r="C221" t="s">
        <v>13</v>
      </c>
      <c r="D221" t="s">
        <v>18</v>
      </c>
      <c r="E221" t="s">
        <v>44</v>
      </c>
      <c r="F221">
        <v>3</v>
      </c>
      <c r="G221">
        <v>50000</v>
      </c>
      <c r="H221">
        <v>150000</v>
      </c>
      <c r="I221" t="str">
        <f t="shared" si="3"/>
        <v>Jan</v>
      </c>
    </row>
    <row r="222" spans="1:9" x14ac:dyDescent="0.35">
      <c r="A222" t="s">
        <v>56</v>
      </c>
      <c r="B222">
        <v>1221</v>
      </c>
      <c r="C222" t="s">
        <v>9</v>
      </c>
      <c r="D222" t="s">
        <v>18</v>
      </c>
      <c r="E222" t="s">
        <v>24</v>
      </c>
      <c r="F222">
        <v>1</v>
      </c>
      <c r="G222">
        <v>20000</v>
      </c>
      <c r="H222">
        <v>20000</v>
      </c>
      <c r="I222" t="str">
        <f t="shared" si="3"/>
        <v>Feb</v>
      </c>
    </row>
    <row r="223" spans="1:9" x14ac:dyDescent="0.35">
      <c r="A223" t="s">
        <v>76</v>
      </c>
      <c r="B223">
        <v>1222</v>
      </c>
      <c r="C223" t="s">
        <v>9</v>
      </c>
      <c r="D223" t="s">
        <v>21</v>
      </c>
      <c r="E223" t="s">
        <v>44</v>
      </c>
      <c r="F223">
        <v>1</v>
      </c>
      <c r="G223">
        <v>50000</v>
      </c>
      <c r="H223">
        <v>50000</v>
      </c>
      <c r="I223" t="str">
        <f t="shared" si="3"/>
        <v>Jun</v>
      </c>
    </row>
    <row r="224" spans="1:9" x14ac:dyDescent="0.35">
      <c r="A224" t="s">
        <v>57</v>
      </c>
      <c r="B224">
        <v>1223</v>
      </c>
      <c r="C224" t="s">
        <v>9</v>
      </c>
      <c r="D224" t="s">
        <v>10</v>
      </c>
      <c r="E224" t="s">
        <v>29</v>
      </c>
      <c r="F224">
        <v>3</v>
      </c>
      <c r="G224">
        <v>4000</v>
      </c>
      <c r="H224">
        <v>12000</v>
      </c>
      <c r="I224" t="str">
        <f t="shared" si="3"/>
        <v>Apr</v>
      </c>
    </row>
    <row r="225" spans="1:9" x14ac:dyDescent="0.35">
      <c r="A225" t="s">
        <v>147</v>
      </c>
      <c r="B225">
        <v>1224</v>
      </c>
      <c r="C225" t="s">
        <v>17</v>
      </c>
      <c r="D225" t="s">
        <v>18</v>
      </c>
      <c r="E225" t="s">
        <v>11</v>
      </c>
      <c r="F225">
        <v>3</v>
      </c>
      <c r="G225">
        <v>15000</v>
      </c>
      <c r="H225">
        <v>45000</v>
      </c>
      <c r="I225" t="str">
        <f t="shared" si="3"/>
        <v>Mar</v>
      </c>
    </row>
    <row r="226" spans="1:9" x14ac:dyDescent="0.35">
      <c r="A226" t="s">
        <v>136</v>
      </c>
      <c r="B226">
        <v>1225</v>
      </c>
      <c r="C226" t="s">
        <v>13</v>
      </c>
      <c r="D226" t="s">
        <v>31</v>
      </c>
      <c r="E226" t="s">
        <v>44</v>
      </c>
      <c r="F226">
        <v>2</v>
      </c>
      <c r="G226">
        <v>50000</v>
      </c>
      <c r="H226">
        <v>100000</v>
      </c>
      <c r="I226" t="str">
        <f t="shared" si="3"/>
        <v>May</v>
      </c>
    </row>
    <row r="227" spans="1:9" x14ac:dyDescent="0.35">
      <c r="A227" t="s">
        <v>148</v>
      </c>
      <c r="B227">
        <v>1226</v>
      </c>
      <c r="C227" t="s">
        <v>13</v>
      </c>
      <c r="D227" t="s">
        <v>34</v>
      </c>
      <c r="E227" t="s">
        <v>15</v>
      </c>
      <c r="F227">
        <v>4</v>
      </c>
      <c r="G227">
        <v>2000</v>
      </c>
      <c r="H227">
        <v>8000</v>
      </c>
      <c r="I227" t="str">
        <f t="shared" si="3"/>
        <v>Jan</v>
      </c>
    </row>
    <row r="228" spans="1:9" x14ac:dyDescent="0.35">
      <c r="A228" t="s">
        <v>22</v>
      </c>
      <c r="B228">
        <v>1227</v>
      </c>
      <c r="C228" t="s">
        <v>17</v>
      </c>
      <c r="D228" t="s">
        <v>14</v>
      </c>
      <c r="E228" t="s">
        <v>44</v>
      </c>
      <c r="F228">
        <v>4</v>
      </c>
      <c r="G228">
        <v>50000</v>
      </c>
      <c r="H228">
        <v>200000</v>
      </c>
      <c r="I228" t="str">
        <f t="shared" si="3"/>
        <v>Feb</v>
      </c>
    </row>
    <row r="229" spans="1:9" x14ac:dyDescent="0.35">
      <c r="A229" t="s">
        <v>64</v>
      </c>
      <c r="B229">
        <v>1228</v>
      </c>
      <c r="C229" t="s">
        <v>9</v>
      </c>
      <c r="D229" t="s">
        <v>34</v>
      </c>
      <c r="E229" t="s">
        <v>15</v>
      </c>
      <c r="F229">
        <v>2</v>
      </c>
      <c r="G229">
        <v>2000</v>
      </c>
      <c r="H229">
        <v>4000</v>
      </c>
      <c r="I229" t="str">
        <f t="shared" si="3"/>
        <v>Jan</v>
      </c>
    </row>
    <row r="230" spans="1:9" x14ac:dyDescent="0.35">
      <c r="A230" t="s">
        <v>131</v>
      </c>
      <c r="B230">
        <v>1229</v>
      </c>
      <c r="C230" t="s">
        <v>9</v>
      </c>
      <c r="D230" t="s">
        <v>14</v>
      </c>
      <c r="E230" t="s">
        <v>11</v>
      </c>
      <c r="F230">
        <v>1</v>
      </c>
      <c r="G230">
        <v>15000</v>
      </c>
      <c r="H230">
        <v>15000</v>
      </c>
      <c r="I230" t="str">
        <f t="shared" si="3"/>
        <v>Apr</v>
      </c>
    </row>
    <row r="231" spans="1:9" x14ac:dyDescent="0.35">
      <c r="A231" t="s">
        <v>69</v>
      </c>
      <c r="B231">
        <v>1230</v>
      </c>
      <c r="C231" t="s">
        <v>17</v>
      </c>
      <c r="D231" t="s">
        <v>10</v>
      </c>
      <c r="E231" t="s">
        <v>27</v>
      </c>
      <c r="F231">
        <v>5</v>
      </c>
      <c r="G231">
        <v>30000</v>
      </c>
      <c r="H231">
        <v>150000</v>
      </c>
      <c r="I231" t="str">
        <f t="shared" si="3"/>
        <v>Apr</v>
      </c>
    </row>
    <row r="232" spans="1:9" x14ac:dyDescent="0.35">
      <c r="A232" t="s">
        <v>72</v>
      </c>
      <c r="B232">
        <v>1231</v>
      </c>
      <c r="C232" t="s">
        <v>17</v>
      </c>
      <c r="D232" t="s">
        <v>34</v>
      </c>
      <c r="E232" t="s">
        <v>24</v>
      </c>
      <c r="F232">
        <v>2</v>
      </c>
      <c r="G232">
        <v>20000</v>
      </c>
      <c r="H232">
        <v>40000</v>
      </c>
      <c r="I232" t="str">
        <f t="shared" si="3"/>
        <v>Apr</v>
      </c>
    </row>
    <row r="233" spans="1:9" x14ac:dyDescent="0.35">
      <c r="A233" t="s">
        <v>23</v>
      </c>
      <c r="B233">
        <v>1232</v>
      </c>
      <c r="C233" t="s">
        <v>17</v>
      </c>
      <c r="D233" t="s">
        <v>34</v>
      </c>
      <c r="E233" t="s">
        <v>44</v>
      </c>
      <c r="F233">
        <v>3</v>
      </c>
      <c r="G233">
        <v>50000</v>
      </c>
      <c r="H233">
        <v>150000</v>
      </c>
      <c r="I233" t="str">
        <f t="shared" si="3"/>
        <v>Mar</v>
      </c>
    </row>
    <row r="234" spans="1:9" x14ac:dyDescent="0.35">
      <c r="A234" t="s">
        <v>149</v>
      </c>
      <c r="B234">
        <v>1233</v>
      </c>
      <c r="C234" t="s">
        <v>13</v>
      </c>
      <c r="D234" t="s">
        <v>31</v>
      </c>
      <c r="E234" t="s">
        <v>44</v>
      </c>
      <c r="F234">
        <v>2</v>
      </c>
      <c r="G234">
        <v>50000</v>
      </c>
      <c r="H234">
        <v>100000</v>
      </c>
      <c r="I234" t="str">
        <f t="shared" si="3"/>
        <v>Feb</v>
      </c>
    </row>
    <row r="235" spans="1:9" x14ac:dyDescent="0.35">
      <c r="A235" t="s">
        <v>28</v>
      </c>
      <c r="B235">
        <v>1234</v>
      </c>
      <c r="C235" t="s">
        <v>17</v>
      </c>
      <c r="D235" t="s">
        <v>10</v>
      </c>
      <c r="E235" t="s">
        <v>29</v>
      </c>
      <c r="F235">
        <v>1</v>
      </c>
      <c r="G235">
        <v>4000</v>
      </c>
      <c r="H235">
        <v>4000</v>
      </c>
      <c r="I235" t="str">
        <f t="shared" si="3"/>
        <v>Feb</v>
      </c>
    </row>
    <row r="236" spans="1:9" x14ac:dyDescent="0.35">
      <c r="A236" t="s">
        <v>32</v>
      </c>
      <c r="B236">
        <v>1235</v>
      </c>
      <c r="C236" t="s">
        <v>9</v>
      </c>
      <c r="D236" t="s">
        <v>31</v>
      </c>
      <c r="E236" t="s">
        <v>15</v>
      </c>
      <c r="F236">
        <v>1</v>
      </c>
      <c r="G236">
        <v>2000</v>
      </c>
      <c r="H236">
        <v>2000</v>
      </c>
      <c r="I236" t="str">
        <f t="shared" si="3"/>
        <v>May</v>
      </c>
    </row>
    <row r="237" spans="1:9" x14ac:dyDescent="0.35">
      <c r="A237" t="s">
        <v>143</v>
      </c>
      <c r="B237">
        <v>1236</v>
      </c>
      <c r="C237" t="s">
        <v>20</v>
      </c>
      <c r="D237" t="s">
        <v>34</v>
      </c>
      <c r="E237" t="s">
        <v>15</v>
      </c>
      <c r="F237">
        <v>1</v>
      </c>
      <c r="G237">
        <v>2000</v>
      </c>
      <c r="H237">
        <v>2000</v>
      </c>
      <c r="I237" t="str">
        <f t="shared" si="3"/>
        <v>Jun</v>
      </c>
    </row>
    <row r="238" spans="1:9" x14ac:dyDescent="0.35">
      <c r="A238" t="s">
        <v>150</v>
      </c>
      <c r="B238">
        <v>1237</v>
      </c>
      <c r="C238" t="s">
        <v>20</v>
      </c>
      <c r="D238" t="s">
        <v>21</v>
      </c>
      <c r="E238" t="s">
        <v>11</v>
      </c>
      <c r="F238">
        <v>1</v>
      </c>
      <c r="G238">
        <v>15000</v>
      </c>
      <c r="H238">
        <v>15000</v>
      </c>
      <c r="I238" t="str">
        <f t="shared" si="3"/>
        <v>Jan</v>
      </c>
    </row>
    <row r="239" spans="1:9" x14ac:dyDescent="0.35">
      <c r="A239" t="s">
        <v>99</v>
      </c>
      <c r="B239">
        <v>1238</v>
      </c>
      <c r="C239" t="s">
        <v>17</v>
      </c>
      <c r="D239" t="s">
        <v>14</v>
      </c>
      <c r="E239" t="s">
        <v>11</v>
      </c>
      <c r="F239">
        <v>3</v>
      </c>
      <c r="G239">
        <v>15000</v>
      </c>
      <c r="H239">
        <v>45000</v>
      </c>
      <c r="I239" t="str">
        <f t="shared" si="3"/>
        <v>May</v>
      </c>
    </row>
    <row r="240" spans="1:9" x14ac:dyDescent="0.35">
      <c r="A240" t="s">
        <v>131</v>
      </c>
      <c r="B240">
        <v>1239</v>
      </c>
      <c r="C240" t="s">
        <v>9</v>
      </c>
      <c r="D240" t="s">
        <v>31</v>
      </c>
      <c r="E240" t="s">
        <v>27</v>
      </c>
      <c r="F240">
        <v>1</v>
      </c>
      <c r="G240">
        <v>30000</v>
      </c>
      <c r="H240">
        <v>30000</v>
      </c>
      <c r="I240" t="str">
        <f t="shared" si="3"/>
        <v>Apr</v>
      </c>
    </row>
    <row r="241" spans="1:9" x14ac:dyDescent="0.35">
      <c r="A241" t="s">
        <v>139</v>
      </c>
      <c r="B241">
        <v>1240</v>
      </c>
      <c r="C241" t="s">
        <v>20</v>
      </c>
      <c r="D241" t="s">
        <v>14</v>
      </c>
      <c r="E241" t="s">
        <v>29</v>
      </c>
      <c r="F241">
        <v>4</v>
      </c>
      <c r="G241">
        <v>4000</v>
      </c>
      <c r="H241">
        <v>16000</v>
      </c>
      <c r="I241" t="str">
        <f t="shared" si="3"/>
        <v>Mar</v>
      </c>
    </row>
    <row r="242" spans="1:9" x14ac:dyDescent="0.35">
      <c r="A242" t="s">
        <v>96</v>
      </c>
      <c r="B242">
        <v>1241</v>
      </c>
      <c r="C242" t="s">
        <v>20</v>
      </c>
      <c r="D242" t="s">
        <v>34</v>
      </c>
      <c r="E242" t="s">
        <v>29</v>
      </c>
      <c r="F242">
        <v>1</v>
      </c>
      <c r="G242">
        <v>4000</v>
      </c>
      <c r="H242">
        <v>4000</v>
      </c>
      <c r="I242" t="str">
        <f t="shared" si="3"/>
        <v>May</v>
      </c>
    </row>
    <row r="243" spans="1:9" x14ac:dyDescent="0.35">
      <c r="A243" t="s">
        <v>52</v>
      </c>
      <c r="B243">
        <v>1242</v>
      </c>
      <c r="C243" t="s">
        <v>17</v>
      </c>
      <c r="D243" t="s">
        <v>14</v>
      </c>
      <c r="E243" t="s">
        <v>24</v>
      </c>
      <c r="F243">
        <v>3</v>
      </c>
      <c r="G243">
        <v>20000</v>
      </c>
      <c r="H243">
        <v>60000</v>
      </c>
      <c r="I243" t="str">
        <f t="shared" si="3"/>
        <v>Mar</v>
      </c>
    </row>
    <row r="244" spans="1:9" x14ac:dyDescent="0.35">
      <c r="A244" t="s">
        <v>151</v>
      </c>
      <c r="B244">
        <v>1243</v>
      </c>
      <c r="C244" t="s">
        <v>13</v>
      </c>
      <c r="D244" t="s">
        <v>10</v>
      </c>
      <c r="E244" t="s">
        <v>29</v>
      </c>
      <c r="F244">
        <v>3</v>
      </c>
      <c r="G244">
        <v>4000</v>
      </c>
      <c r="H244">
        <v>12000</v>
      </c>
      <c r="I244" t="str">
        <f t="shared" si="3"/>
        <v>Feb</v>
      </c>
    </row>
    <row r="245" spans="1:9" x14ac:dyDescent="0.35">
      <c r="A245" t="s">
        <v>152</v>
      </c>
      <c r="B245">
        <v>1244</v>
      </c>
      <c r="C245" t="s">
        <v>20</v>
      </c>
      <c r="D245" t="s">
        <v>31</v>
      </c>
      <c r="E245" t="s">
        <v>27</v>
      </c>
      <c r="F245">
        <v>1</v>
      </c>
      <c r="G245">
        <v>30000</v>
      </c>
      <c r="H245">
        <v>30000</v>
      </c>
      <c r="I245" t="str">
        <f t="shared" si="3"/>
        <v>Apr</v>
      </c>
    </row>
    <row r="246" spans="1:9" x14ac:dyDescent="0.35">
      <c r="A246" t="s">
        <v>97</v>
      </c>
      <c r="B246">
        <v>1245</v>
      </c>
      <c r="C246" t="s">
        <v>20</v>
      </c>
      <c r="D246" t="s">
        <v>14</v>
      </c>
      <c r="E246" t="s">
        <v>29</v>
      </c>
      <c r="F246">
        <v>5</v>
      </c>
      <c r="G246">
        <v>4000</v>
      </c>
      <c r="H246">
        <v>20000</v>
      </c>
      <c r="I246" t="str">
        <f t="shared" si="3"/>
        <v>May</v>
      </c>
    </row>
    <row r="247" spans="1:9" x14ac:dyDescent="0.35">
      <c r="A247" t="s">
        <v>153</v>
      </c>
      <c r="B247">
        <v>1246</v>
      </c>
      <c r="C247" t="s">
        <v>13</v>
      </c>
      <c r="D247" t="s">
        <v>31</v>
      </c>
      <c r="E247" t="s">
        <v>15</v>
      </c>
      <c r="F247">
        <v>2</v>
      </c>
      <c r="G247">
        <v>2000</v>
      </c>
      <c r="H247">
        <v>4000</v>
      </c>
      <c r="I247" t="str">
        <f t="shared" si="3"/>
        <v>Apr</v>
      </c>
    </row>
    <row r="248" spans="1:9" x14ac:dyDescent="0.35">
      <c r="A248" t="s">
        <v>154</v>
      </c>
      <c r="B248">
        <v>1247</v>
      </c>
      <c r="C248" t="s">
        <v>13</v>
      </c>
      <c r="D248" t="s">
        <v>31</v>
      </c>
      <c r="E248" t="s">
        <v>15</v>
      </c>
      <c r="F248">
        <v>3</v>
      </c>
      <c r="G248">
        <v>2000</v>
      </c>
      <c r="H248">
        <v>6000</v>
      </c>
      <c r="I248" t="str">
        <f t="shared" si="3"/>
        <v>Jun</v>
      </c>
    </row>
    <row r="249" spans="1:9" x14ac:dyDescent="0.35">
      <c r="A249" t="s">
        <v>155</v>
      </c>
      <c r="B249">
        <v>1248</v>
      </c>
      <c r="C249" t="s">
        <v>20</v>
      </c>
      <c r="D249" t="s">
        <v>10</v>
      </c>
      <c r="E249" t="s">
        <v>44</v>
      </c>
      <c r="F249">
        <v>5</v>
      </c>
      <c r="G249">
        <v>50000</v>
      </c>
      <c r="H249">
        <v>250000</v>
      </c>
      <c r="I249" t="str">
        <f t="shared" si="3"/>
        <v>Jan</v>
      </c>
    </row>
    <row r="250" spans="1:9" x14ac:dyDescent="0.35">
      <c r="A250" t="s">
        <v>55</v>
      </c>
      <c r="B250">
        <v>1249</v>
      </c>
      <c r="C250" t="s">
        <v>9</v>
      </c>
      <c r="D250" t="s">
        <v>21</v>
      </c>
      <c r="E250" t="s">
        <v>15</v>
      </c>
      <c r="F250">
        <v>1</v>
      </c>
      <c r="G250">
        <v>2000</v>
      </c>
      <c r="H250">
        <v>2000</v>
      </c>
      <c r="I250" t="str">
        <f t="shared" si="3"/>
        <v>Feb</v>
      </c>
    </row>
    <row r="251" spans="1:9" x14ac:dyDescent="0.35">
      <c r="A251" t="s">
        <v>156</v>
      </c>
      <c r="B251">
        <v>1250</v>
      </c>
      <c r="C251" t="s">
        <v>20</v>
      </c>
      <c r="D251" t="s">
        <v>10</v>
      </c>
      <c r="E251" t="s">
        <v>29</v>
      </c>
      <c r="F251">
        <v>3</v>
      </c>
      <c r="G251">
        <v>4000</v>
      </c>
      <c r="H251">
        <v>12000</v>
      </c>
      <c r="I251" t="str">
        <f t="shared" si="3"/>
        <v>Mar</v>
      </c>
    </row>
    <row r="252" spans="1:9" x14ac:dyDescent="0.35">
      <c r="A252" t="s">
        <v>157</v>
      </c>
      <c r="B252">
        <v>1251</v>
      </c>
      <c r="C252" t="s">
        <v>20</v>
      </c>
      <c r="D252" t="s">
        <v>21</v>
      </c>
      <c r="E252" t="s">
        <v>44</v>
      </c>
      <c r="F252">
        <v>2</v>
      </c>
      <c r="G252">
        <v>50000</v>
      </c>
      <c r="H252">
        <v>100000</v>
      </c>
      <c r="I252" t="str">
        <f t="shared" si="3"/>
        <v>Mar</v>
      </c>
    </row>
    <row r="253" spans="1:9" x14ac:dyDescent="0.35">
      <c r="A253" t="s">
        <v>158</v>
      </c>
      <c r="B253">
        <v>1252</v>
      </c>
      <c r="C253" t="s">
        <v>20</v>
      </c>
      <c r="D253" t="s">
        <v>10</v>
      </c>
      <c r="E253" t="s">
        <v>24</v>
      </c>
      <c r="F253">
        <v>4</v>
      </c>
      <c r="G253">
        <v>20000</v>
      </c>
      <c r="H253">
        <v>80000</v>
      </c>
      <c r="I253" t="str">
        <f t="shared" si="3"/>
        <v>Feb</v>
      </c>
    </row>
    <row r="254" spans="1:9" x14ac:dyDescent="0.35">
      <c r="A254" t="s">
        <v>92</v>
      </c>
      <c r="B254">
        <v>1253</v>
      </c>
      <c r="C254" t="s">
        <v>9</v>
      </c>
      <c r="D254" t="s">
        <v>14</v>
      </c>
      <c r="E254" t="s">
        <v>15</v>
      </c>
      <c r="F254">
        <v>1</v>
      </c>
      <c r="G254">
        <v>2000</v>
      </c>
      <c r="H254">
        <v>2000</v>
      </c>
      <c r="I254" t="str">
        <f t="shared" si="3"/>
        <v>Jan</v>
      </c>
    </row>
    <row r="255" spans="1:9" x14ac:dyDescent="0.35">
      <c r="A255" t="s">
        <v>159</v>
      </c>
      <c r="B255">
        <v>1254</v>
      </c>
      <c r="C255" t="s">
        <v>13</v>
      </c>
      <c r="D255" t="s">
        <v>21</v>
      </c>
      <c r="E255" t="s">
        <v>44</v>
      </c>
      <c r="F255">
        <v>4</v>
      </c>
      <c r="G255">
        <v>50000</v>
      </c>
      <c r="H255">
        <v>200000</v>
      </c>
      <c r="I255" t="str">
        <f t="shared" si="3"/>
        <v>Jan</v>
      </c>
    </row>
    <row r="256" spans="1:9" x14ac:dyDescent="0.35">
      <c r="A256" t="s">
        <v>160</v>
      </c>
      <c r="B256">
        <v>1255</v>
      </c>
      <c r="C256" t="s">
        <v>9</v>
      </c>
      <c r="D256" t="s">
        <v>21</v>
      </c>
      <c r="E256" t="s">
        <v>44</v>
      </c>
      <c r="F256">
        <v>3</v>
      </c>
      <c r="G256">
        <v>50000</v>
      </c>
      <c r="H256">
        <v>150000</v>
      </c>
      <c r="I256" t="str">
        <f t="shared" si="3"/>
        <v>Jun</v>
      </c>
    </row>
    <row r="257" spans="1:9" x14ac:dyDescent="0.35">
      <c r="A257" t="s">
        <v>135</v>
      </c>
      <c r="B257">
        <v>1256</v>
      </c>
      <c r="C257" t="s">
        <v>20</v>
      </c>
      <c r="D257" t="s">
        <v>34</v>
      </c>
      <c r="E257" t="s">
        <v>11</v>
      </c>
      <c r="F257">
        <v>1</v>
      </c>
      <c r="G257">
        <v>15000</v>
      </c>
      <c r="H257">
        <v>15000</v>
      </c>
      <c r="I257" t="str">
        <f t="shared" si="3"/>
        <v>May</v>
      </c>
    </row>
    <row r="258" spans="1:9" x14ac:dyDescent="0.35">
      <c r="A258" t="s">
        <v>49</v>
      </c>
      <c r="B258">
        <v>1257</v>
      </c>
      <c r="C258" t="s">
        <v>17</v>
      </c>
      <c r="D258" t="s">
        <v>14</v>
      </c>
      <c r="E258" t="s">
        <v>24</v>
      </c>
      <c r="F258">
        <v>4</v>
      </c>
      <c r="G258">
        <v>20000</v>
      </c>
      <c r="H258">
        <v>80000</v>
      </c>
      <c r="I258" t="str">
        <f t="shared" ref="I258:I321" si="4">TEXT(A258,"mmm")</f>
        <v>Mar</v>
      </c>
    </row>
    <row r="259" spans="1:9" x14ac:dyDescent="0.35">
      <c r="A259" t="s">
        <v>79</v>
      </c>
      <c r="B259">
        <v>1258</v>
      </c>
      <c r="C259" t="s">
        <v>20</v>
      </c>
      <c r="D259" t="s">
        <v>31</v>
      </c>
      <c r="E259" t="s">
        <v>15</v>
      </c>
      <c r="F259">
        <v>3</v>
      </c>
      <c r="G259">
        <v>2000</v>
      </c>
      <c r="H259">
        <v>6000</v>
      </c>
      <c r="I259" t="str">
        <f t="shared" si="4"/>
        <v>Jan</v>
      </c>
    </row>
    <row r="260" spans="1:9" x14ac:dyDescent="0.35">
      <c r="A260" t="s">
        <v>161</v>
      </c>
      <c r="B260">
        <v>1259</v>
      </c>
      <c r="C260" t="s">
        <v>9</v>
      </c>
      <c r="D260" t="s">
        <v>21</v>
      </c>
      <c r="E260" t="s">
        <v>44</v>
      </c>
      <c r="F260">
        <v>4</v>
      </c>
      <c r="G260">
        <v>50000</v>
      </c>
      <c r="H260">
        <v>200000</v>
      </c>
      <c r="I260" t="str">
        <f t="shared" si="4"/>
        <v>Mar</v>
      </c>
    </row>
    <row r="261" spans="1:9" x14ac:dyDescent="0.35">
      <c r="A261" t="s">
        <v>162</v>
      </c>
      <c r="B261">
        <v>1260</v>
      </c>
      <c r="C261" t="s">
        <v>20</v>
      </c>
      <c r="D261" t="s">
        <v>18</v>
      </c>
      <c r="E261" t="s">
        <v>44</v>
      </c>
      <c r="F261">
        <v>4</v>
      </c>
      <c r="G261">
        <v>50000</v>
      </c>
      <c r="H261">
        <v>200000</v>
      </c>
      <c r="I261" t="str">
        <f t="shared" si="4"/>
        <v>Jun</v>
      </c>
    </row>
    <row r="262" spans="1:9" x14ac:dyDescent="0.35">
      <c r="A262" t="s">
        <v>163</v>
      </c>
      <c r="B262">
        <v>1261</v>
      </c>
      <c r="C262" t="s">
        <v>17</v>
      </c>
      <c r="D262" t="s">
        <v>34</v>
      </c>
      <c r="E262" t="s">
        <v>29</v>
      </c>
      <c r="F262">
        <v>1</v>
      </c>
      <c r="G262">
        <v>4000</v>
      </c>
      <c r="H262">
        <v>4000</v>
      </c>
      <c r="I262" t="str">
        <f t="shared" si="4"/>
        <v>Feb</v>
      </c>
    </row>
    <row r="263" spans="1:9" x14ac:dyDescent="0.35">
      <c r="A263" t="s">
        <v>66</v>
      </c>
      <c r="B263">
        <v>1262</v>
      </c>
      <c r="C263" t="s">
        <v>20</v>
      </c>
      <c r="D263" t="s">
        <v>14</v>
      </c>
      <c r="E263" t="s">
        <v>29</v>
      </c>
      <c r="F263">
        <v>5</v>
      </c>
      <c r="G263">
        <v>4000</v>
      </c>
      <c r="H263">
        <v>20000</v>
      </c>
      <c r="I263" t="str">
        <f t="shared" si="4"/>
        <v>May</v>
      </c>
    </row>
    <row r="264" spans="1:9" x14ac:dyDescent="0.35">
      <c r="A264" t="s">
        <v>98</v>
      </c>
      <c r="B264">
        <v>1263</v>
      </c>
      <c r="C264" t="s">
        <v>20</v>
      </c>
      <c r="D264" t="s">
        <v>10</v>
      </c>
      <c r="E264" t="s">
        <v>44</v>
      </c>
      <c r="F264">
        <v>2</v>
      </c>
      <c r="G264">
        <v>50000</v>
      </c>
      <c r="H264">
        <v>100000</v>
      </c>
      <c r="I264" t="str">
        <f t="shared" si="4"/>
        <v>May</v>
      </c>
    </row>
    <row r="265" spans="1:9" x14ac:dyDescent="0.35">
      <c r="A265" t="s">
        <v>164</v>
      </c>
      <c r="B265">
        <v>1264</v>
      </c>
      <c r="C265" t="s">
        <v>13</v>
      </c>
      <c r="D265" t="s">
        <v>18</v>
      </c>
      <c r="E265" t="s">
        <v>11</v>
      </c>
      <c r="F265">
        <v>2</v>
      </c>
      <c r="G265">
        <v>15000</v>
      </c>
      <c r="H265">
        <v>30000</v>
      </c>
      <c r="I265" t="str">
        <f t="shared" si="4"/>
        <v>Mar</v>
      </c>
    </row>
    <row r="266" spans="1:9" x14ac:dyDescent="0.35">
      <c r="A266" t="s">
        <v>117</v>
      </c>
      <c r="B266">
        <v>1265</v>
      </c>
      <c r="C266" t="s">
        <v>9</v>
      </c>
      <c r="D266" t="s">
        <v>21</v>
      </c>
      <c r="E266" t="s">
        <v>44</v>
      </c>
      <c r="F266">
        <v>4</v>
      </c>
      <c r="G266">
        <v>50000</v>
      </c>
      <c r="H266">
        <v>200000</v>
      </c>
      <c r="I266" t="str">
        <f t="shared" si="4"/>
        <v>Jun</v>
      </c>
    </row>
    <row r="267" spans="1:9" x14ac:dyDescent="0.35">
      <c r="A267" t="s">
        <v>58</v>
      </c>
      <c r="B267">
        <v>1266</v>
      </c>
      <c r="C267" t="s">
        <v>9</v>
      </c>
      <c r="D267" t="s">
        <v>18</v>
      </c>
      <c r="E267" t="s">
        <v>24</v>
      </c>
      <c r="F267">
        <v>4</v>
      </c>
      <c r="G267">
        <v>20000</v>
      </c>
      <c r="H267">
        <v>80000</v>
      </c>
      <c r="I267" t="str">
        <f t="shared" si="4"/>
        <v>Jun</v>
      </c>
    </row>
    <row r="268" spans="1:9" x14ac:dyDescent="0.35">
      <c r="A268" t="s">
        <v>165</v>
      </c>
      <c r="B268">
        <v>1267</v>
      </c>
      <c r="C268" t="s">
        <v>9</v>
      </c>
      <c r="D268" t="s">
        <v>14</v>
      </c>
      <c r="E268" t="s">
        <v>29</v>
      </c>
      <c r="F268">
        <v>5</v>
      </c>
      <c r="G268">
        <v>4000</v>
      </c>
      <c r="H268">
        <v>20000</v>
      </c>
      <c r="I268" t="str">
        <f t="shared" si="4"/>
        <v>Apr</v>
      </c>
    </row>
    <row r="269" spans="1:9" x14ac:dyDescent="0.35">
      <c r="A269" t="s">
        <v>59</v>
      </c>
      <c r="B269">
        <v>1268</v>
      </c>
      <c r="C269" t="s">
        <v>13</v>
      </c>
      <c r="D269" t="s">
        <v>18</v>
      </c>
      <c r="E269" t="s">
        <v>24</v>
      </c>
      <c r="F269">
        <v>2</v>
      </c>
      <c r="G269">
        <v>20000</v>
      </c>
      <c r="H269">
        <v>40000</v>
      </c>
      <c r="I269" t="str">
        <f t="shared" si="4"/>
        <v>May</v>
      </c>
    </row>
    <row r="270" spans="1:9" x14ac:dyDescent="0.35">
      <c r="A270" t="s">
        <v>38</v>
      </c>
      <c r="B270">
        <v>1269</v>
      </c>
      <c r="C270" t="s">
        <v>20</v>
      </c>
      <c r="D270" t="s">
        <v>14</v>
      </c>
      <c r="E270" t="s">
        <v>15</v>
      </c>
      <c r="F270">
        <v>2</v>
      </c>
      <c r="G270">
        <v>2000</v>
      </c>
      <c r="H270">
        <v>4000</v>
      </c>
      <c r="I270" t="str">
        <f t="shared" si="4"/>
        <v>Jun</v>
      </c>
    </row>
    <row r="271" spans="1:9" x14ac:dyDescent="0.35">
      <c r="A271" t="s">
        <v>136</v>
      </c>
      <c r="B271">
        <v>1270</v>
      </c>
      <c r="C271" t="s">
        <v>9</v>
      </c>
      <c r="D271" t="s">
        <v>18</v>
      </c>
      <c r="E271" t="s">
        <v>27</v>
      </c>
      <c r="F271">
        <v>5</v>
      </c>
      <c r="G271">
        <v>30000</v>
      </c>
      <c r="H271">
        <v>150000</v>
      </c>
      <c r="I271" t="str">
        <f t="shared" si="4"/>
        <v>May</v>
      </c>
    </row>
    <row r="272" spans="1:9" x14ac:dyDescent="0.35">
      <c r="A272" t="s">
        <v>166</v>
      </c>
      <c r="B272">
        <v>1271</v>
      </c>
      <c r="C272" t="s">
        <v>17</v>
      </c>
      <c r="D272" t="s">
        <v>31</v>
      </c>
      <c r="E272" t="s">
        <v>27</v>
      </c>
      <c r="F272">
        <v>2</v>
      </c>
      <c r="G272">
        <v>30000</v>
      </c>
      <c r="H272">
        <v>60000</v>
      </c>
      <c r="I272" t="str">
        <f t="shared" si="4"/>
        <v>Jun</v>
      </c>
    </row>
    <row r="273" spans="1:9" x14ac:dyDescent="0.35">
      <c r="A273" t="s">
        <v>76</v>
      </c>
      <c r="B273">
        <v>1272</v>
      </c>
      <c r="C273" t="s">
        <v>9</v>
      </c>
      <c r="D273" t="s">
        <v>34</v>
      </c>
      <c r="E273" t="s">
        <v>11</v>
      </c>
      <c r="F273">
        <v>2</v>
      </c>
      <c r="G273">
        <v>15000</v>
      </c>
      <c r="H273">
        <v>30000</v>
      </c>
      <c r="I273" t="str">
        <f t="shared" si="4"/>
        <v>Jun</v>
      </c>
    </row>
    <row r="274" spans="1:9" x14ac:dyDescent="0.35">
      <c r="A274" t="s">
        <v>47</v>
      </c>
      <c r="B274">
        <v>1273</v>
      </c>
      <c r="C274" t="s">
        <v>20</v>
      </c>
      <c r="D274" t="s">
        <v>18</v>
      </c>
      <c r="E274" t="s">
        <v>11</v>
      </c>
      <c r="F274">
        <v>5</v>
      </c>
      <c r="G274">
        <v>15000</v>
      </c>
      <c r="H274">
        <v>75000</v>
      </c>
      <c r="I274" t="str">
        <f t="shared" si="4"/>
        <v>Feb</v>
      </c>
    </row>
    <row r="275" spans="1:9" x14ac:dyDescent="0.35">
      <c r="A275" t="s">
        <v>96</v>
      </c>
      <c r="B275">
        <v>1274</v>
      </c>
      <c r="C275" t="s">
        <v>13</v>
      </c>
      <c r="D275" t="s">
        <v>21</v>
      </c>
      <c r="E275" t="s">
        <v>11</v>
      </c>
      <c r="F275">
        <v>3</v>
      </c>
      <c r="G275">
        <v>15000</v>
      </c>
      <c r="H275">
        <v>45000</v>
      </c>
      <c r="I275" t="str">
        <f t="shared" si="4"/>
        <v>May</v>
      </c>
    </row>
    <row r="276" spans="1:9" x14ac:dyDescent="0.35">
      <c r="A276" t="s">
        <v>12</v>
      </c>
      <c r="B276">
        <v>1275</v>
      </c>
      <c r="C276" t="s">
        <v>20</v>
      </c>
      <c r="D276" t="s">
        <v>21</v>
      </c>
      <c r="E276" t="s">
        <v>44</v>
      </c>
      <c r="F276">
        <v>4</v>
      </c>
      <c r="G276">
        <v>50000</v>
      </c>
      <c r="H276">
        <v>200000</v>
      </c>
      <c r="I276" t="str">
        <f t="shared" si="4"/>
        <v>Feb</v>
      </c>
    </row>
    <row r="277" spans="1:9" x14ac:dyDescent="0.35">
      <c r="A277" t="s">
        <v>92</v>
      </c>
      <c r="B277">
        <v>1276</v>
      </c>
      <c r="C277" t="s">
        <v>17</v>
      </c>
      <c r="D277" t="s">
        <v>10</v>
      </c>
      <c r="E277" t="s">
        <v>29</v>
      </c>
      <c r="F277">
        <v>1</v>
      </c>
      <c r="G277">
        <v>4000</v>
      </c>
      <c r="H277">
        <v>4000</v>
      </c>
      <c r="I277" t="str">
        <f t="shared" si="4"/>
        <v>Jan</v>
      </c>
    </row>
    <row r="278" spans="1:9" x14ac:dyDescent="0.35">
      <c r="A278" t="s">
        <v>49</v>
      </c>
      <c r="B278">
        <v>1277</v>
      </c>
      <c r="C278" t="s">
        <v>9</v>
      </c>
      <c r="D278" t="s">
        <v>10</v>
      </c>
      <c r="E278" t="s">
        <v>24</v>
      </c>
      <c r="F278">
        <v>5</v>
      </c>
      <c r="G278">
        <v>20000</v>
      </c>
      <c r="H278">
        <v>100000</v>
      </c>
      <c r="I278" t="str">
        <f t="shared" si="4"/>
        <v>Mar</v>
      </c>
    </row>
    <row r="279" spans="1:9" x14ac:dyDescent="0.35">
      <c r="A279" t="s">
        <v>167</v>
      </c>
      <c r="B279">
        <v>1278</v>
      </c>
      <c r="C279" t="s">
        <v>17</v>
      </c>
      <c r="D279" t="s">
        <v>10</v>
      </c>
      <c r="E279" t="s">
        <v>11</v>
      </c>
      <c r="F279">
        <v>4</v>
      </c>
      <c r="G279">
        <v>15000</v>
      </c>
      <c r="H279">
        <v>60000</v>
      </c>
      <c r="I279" t="str">
        <f t="shared" si="4"/>
        <v>Feb</v>
      </c>
    </row>
    <row r="280" spans="1:9" x14ac:dyDescent="0.35">
      <c r="A280" t="s">
        <v>168</v>
      </c>
      <c r="B280">
        <v>1279</v>
      </c>
      <c r="C280" t="s">
        <v>13</v>
      </c>
      <c r="D280" t="s">
        <v>18</v>
      </c>
      <c r="E280" t="s">
        <v>29</v>
      </c>
      <c r="F280">
        <v>3</v>
      </c>
      <c r="G280">
        <v>4000</v>
      </c>
      <c r="H280">
        <v>12000</v>
      </c>
      <c r="I280" t="str">
        <f t="shared" si="4"/>
        <v>Apr</v>
      </c>
    </row>
    <row r="281" spans="1:9" x14ac:dyDescent="0.35">
      <c r="A281" t="s">
        <v>71</v>
      </c>
      <c r="B281">
        <v>1280</v>
      </c>
      <c r="C281" t="s">
        <v>9</v>
      </c>
      <c r="D281" t="s">
        <v>18</v>
      </c>
      <c r="E281" t="s">
        <v>27</v>
      </c>
      <c r="F281">
        <v>1</v>
      </c>
      <c r="G281">
        <v>30000</v>
      </c>
      <c r="H281">
        <v>30000</v>
      </c>
      <c r="I281" t="str">
        <f t="shared" si="4"/>
        <v>Mar</v>
      </c>
    </row>
    <row r="282" spans="1:9" x14ac:dyDescent="0.35">
      <c r="A282" t="s">
        <v>120</v>
      </c>
      <c r="B282">
        <v>1281</v>
      </c>
      <c r="C282" t="s">
        <v>17</v>
      </c>
      <c r="D282" t="s">
        <v>34</v>
      </c>
      <c r="E282" t="s">
        <v>27</v>
      </c>
      <c r="F282">
        <v>3</v>
      </c>
      <c r="G282">
        <v>30000</v>
      </c>
      <c r="H282">
        <v>90000</v>
      </c>
      <c r="I282" t="str">
        <f t="shared" si="4"/>
        <v>Mar</v>
      </c>
    </row>
    <row r="283" spans="1:9" x14ac:dyDescent="0.35">
      <c r="A283" t="s">
        <v>166</v>
      </c>
      <c r="B283">
        <v>1282</v>
      </c>
      <c r="C283" t="s">
        <v>13</v>
      </c>
      <c r="D283" t="s">
        <v>31</v>
      </c>
      <c r="E283" t="s">
        <v>24</v>
      </c>
      <c r="F283">
        <v>4</v>
      </c>
      <c r="G283">
        <v>20000</v>
      </c>
      <c r="H283">
        <v>80000</v>
      </c>
      <c r="I283" t="str">
        <f t="shared" si="4"/>
        <v>Jun</v>
      </c>
    </row>
    <row r="284" spans="1:9" x14ac:dyDescent="0.35">
      <c r="A284" t="s">
        <v>23</v>
      </c>
      <c r="B284">
        <v>1283</v>
      </c>
      <c r="C284" t="s">
        <v>17</v>
      </c>
      <c r="D284" t="s">
        <v>34</v>
      </c>
      <c r="E284" t="s">
        <v>44</v>
      </c>
      <c r="F284">
        <v>2</v>
      </c>
      <c r="G284">
        <v>50000</v>
      </c>
      <c r="H284">
        <v>100000</v>
      </c>
      <c r="I284" t="str">
        <f t="shared" si="4"/>
        <v>Mar</v>
      </c>
    </row>
    <row r="285" spans="1:9" x14ac:dyDescent="0.35">
      <c r="A285" t="s">
        <v>106</v>
      </c>
      <c r="B285">
        <v>1284</v>
      </c>
      <c r="C285" t="s">
        <v>9</v>
      </c>
      <c r="D285" t="s">
        <v>14</v>
      </c>
      <c r="E285" t="s">
        <v>15</v>
      </c>
      <c r="F285">
        <v>1</v>
      </c>
      <c r="G285">
        <v>2000</v>
      </c>
      <c r="H285">
        <v>2000</v>
      </c>
      <c r="I285" t="str">
        <f t="shared" si="4"/>
        <v>Jun</v>
      </c>
    </row>
    <row r="286" spans="1:9" x14ac:dyDescent="0.35">
      <c r="A286" t="s">
        <v>169</v>
      </c>
      <c r="B286">
        <v>1285</v>
      </c>
      <c r="C286" t="s">
        <v>17</v>
      </c>
      <c r="D286" t="s">
        <v>34</v>
      </c>
      <c r="E286" t="s">
        <v>27</v>
      </c>
      <c r="F286">
        <v>3</v>
      </c>
      <c r="G286">
        <v>30000</v>
      </c>
      <c r="H286">
        <v>90000</v>
      </c>
      <c r="I286" t="str">
        <f t="shared" si="4"/>
        <v>Feb</v>
      </c>
    </row>
    <row r="287" spans="1:9" x14ac:dyDescent="0.35">
      <c r="A287" t="s">
        <v>170</v>
      </c>
      <c r="B287">
        <v>1286</v>
      </c>
      <c r="C287" t="s">
        <v>9</v>
      </c>
      <c r="D287" t="s">
        <v>14</v>
      </c>
      <c r="E287" t="s">
        <v>11</v>
      </c>
      <c r="F287">
        <v>3</v>
      </c>
      <c r="G287">
        <v>15000</v>
      </c>
      <c r="H287">
        <v>45000</v>
      </c>
      <c r="I287" t="str">
        <f t="shared" si="4"/>
        <v>Apr</v>
      </c>
    </row>
    <row r="288" spans="1:9" x14ac:dyDescent="0.35">
      <c r="A288" t="s">
        <v>25</v>
      </c>
      <c r="B288">
        <v>1287</v>
      </c>
      <c r="C288" t="s">
        <v>9</v>
      </c>
      <c r="D288" t="s">
        <v>21</v>
      </c>
      <c r="E288" t="s">
        <v>15</v>
      </c>
      <c r="F288">
        <v>2</v>
      </c>
      <c r="G288">
        <v>2000</v>
      </c>
      <c r="H288">
        <v>4000</v>
      </c>
      <c r="I288" t="str">
        <f t="shared" si="4"/>
        <v>Jan</v>
      </c>
    </row>
    <row r="289" spans="1:9" x14ac:dyDescent="0.35">
      <c r="A289" t="s">
        <v>171</v>
      </c>
      <c r="B289">
        <v>1288</v>
      </c>
      <c r="C289" t="s">
        <v>13</v>
      </c>
      <c r="D289" t="s">
        <v>14</v>
      </c>
      <c r="E289" t="s">
        <v>27</v>
      </c>
      <c r="F289">
        <v>2</v>
      </c>
      <c r="G289">
        <v>30000</v>
      </c>
      <c r="H289">
        <v>60000</v>
      </c>
      <c r="I289" t="str">
        <f t="shared" si="4"/>
        <v>Jan</v>
      </c>
    </row>
    <row r="290" spans="1:9" x14ac:dyDescent="0.35">
      <c r="A290" t="s">
        <v>92</v>
      </c>
      <c r="B290">
        <v>1289</v>
      </c>
      <c r="C290" t="s">
        <v>13</v>
      </c>
      <c r="D290" t="s">
        <v>18</v>
      </c>
      <c r="E290" t="s">
        <v>29</v>
      </c>
      <c r="F290">
        <v>3</v>
      </c>
      <c r="G290">
        <v>4000</v>
      </c>
      <c r="H290">
        <v>12000</v>
      </c>
      <c r="I290" t="str">
        <f t="shared" si="4"/>
        <v>Jan</v>
      </c>
    </row>
    <row r="291" spans="1:9" x14ac:dyDescent="0.35">
      <c r="A291" t="s">
        <v>75</v>
      </c>
      <c r="B291">
        <v>1290</v>
      </c>
      <c r="C291" t="s">
        <v>9</v>
      </c>
      <c r="D291" t="s">
        <v>18</v>
      </c>
      <c r="E291" t="s">
        <v>15</v>
      </c>
      <c r="F291">
        <v>4</v>
      </c>
      <c r="G291">
        <v>2000</v>
      </c>
      <c r="H291">
        <v>8000</v>
      </c>
      <c r="I291" t="str">
        <f t="shared" si="4"/>
        <v>Mar</v>
      </c>
    </row>
    <row r="292" spans="1:9" x14ac:dyDescent="0.35">
      <c r="A292" t="s">
        <v>66</v>
      </c>
      <c r="B292">
        <v>1291</v>
      </c>
      <c r="C292" t="s">
        <v>9</v>
      </c>
      <c r="D292" t="s">
        <v>18</v>
      </c>
      <c r="E292" t="s">
        <v>27</v>
      </c>
      <c r="F292">
        <v>5</v>
      </c>
      <c r="G292">
        <v>30000</v>
      </c>
      <c r="H292">
        <v>150000</v>
      </c>
      <c r="I292" t="str">
        <f t="shared" si="4"/>
        <v>May</v>
      </c>
    </row>
    <row r="293" spans="1:9" x14ac:dyDescent="0.35">
      <c r="A293" t="s">
        <v>172</v>
      </c>
      <c r="B293">
        <v>1292</v>
      </c>
      <c r="C293" t="s">
        <v>20</v>
      </c>
      <c r="D293" t="s">
        <v>21</v>
      </c>
      <c r="E293" t="s">
        <v>24</v>
      </c>
      <c r="F293">
        <v>2</v>
      </c>
      <c r="G293">
        <v>20000</v>
      </c>
      <c r="H293">
        <v>40000</v>
      </c>
      <c r="I293" t="str">
        <f t="shared" si="4"/>
        <v>Mar</v>
      </c>
    </row>
    <row r="294" spans="1:9" x14ac:dyDescent="0.35">
      <c r="A294" t="s">
        <v>149</v>
      </c>
      <c r="B294">
        <v>1293</v>
      </c>
      <c r="C294" t="s">
        <v>17</v>
      </c>
      <c r="D294" t="s">
        <v>14</v>
      </c>
      <c r="E294" t="s">
        <v>15</v>
      </c>
      <c r="F294">
        <v>4</v>
      </c>
      <c r="G294">
        <v>2000</v>
      </c>
      <c r="H294">
        <v>8000</v>
      </c>
      <c r="I294" t="str">
        <f t="shared" si="4"/>
        <v>Feb</v>
      </c>
    </row>
    <row r="295" spans="1:9" x14ac:dyDescent="0.35">
      <c r="A295" t="s">
        <v>173</v>
      </c>
      <c r="B295">
        <v>1294</v>
      </c>
      <c r="C295" t="s">
        <v>9</v>
      </c>
      <c r="D295" t="s">
        <v>10</v>
      </c>
      <c r="E295" t="s">
        <v>11</v>
      </c>
      <c r="F295">
        <v>2</v>
      </c>
      <c r="G295">
        <v>15000</v>
      </c>
      <c r="H295">
        <v>30000</v>
      </c>
      <c r="I295" t="str">
        <f t="shared" si="4"/>
        <v>Jun</v>
      </c>
    </row>
    <row r="296" spans="1:9" x14ac:dyDescent="0.35">
      <c r="A296" t="s">
        <v>174</v>
      </c>
      <c r="B296">
        <v>1295</v>
      </c>
      <c r="C296" t="s">
        <v>20</v>
      </c>
      <c r="D296" t="s">
        <v>18</v>
      </c>
      <c r="E296" t="s">
        <v>44</v>
      </c>
      <c r="F296">
        <v>1</v>
      </c>
      <c r="G296">
        <v>50000</v>
      </c>
      <c r="H296">
        <v>50000</v>
      </c>
      <c r="I296" t="str">
        <f t="shared" si="4"/>
        <v>Mar</v>
      </c>
    </row>
    <row r="297" spans="1:9" x14ac:dyDescent="0.35">
      <c r="A297" t="s">
        <v>46</v>
      </c>
      <c r="B297">
        <v>1296</v>
      </c>
      <c r="C297" t="s">
        <v>20</v>
      </c>
      <c r="D297" t="s">
        <v>34</v>
      </c>
      <c r="E297" t="s">
        <v>15</v>
      </c>
      <c r="F297">
        <v>2</v>
      </c>
      <c r="G297">
        <v>2000</v>
      </c>
      <c r="H297">
        <v>4000</v>
      </c>
      <c r="I297" t="str">
        <f t="shared" si="4"/>
        <v>Apr</v>
      </c>
    </row>
    <row r="298" spans="1:9" x14ac:dyDescent="0.35">
      <c r="A298" t="s">
        <v>121</v>
      </c>
      <c r="B298">
        <v>1297</v>
      </c>
      <c r="C298" t="s">
        <v>20</v>
      </c>
      <c r="D298" t="s">
        <v>14</v>
      </c>
      <c r="E298" t="s">
        <v>11</v>
      </c>
      <c r="F298">
        <v>5</v>
      </c>
      <c r="G298">
        <v>15000</v>
      </c>
      <c r="H298">
        <v>75000</v>
      </c>
      <c r="I298" t="str">
        <f t="shared" si="4"/>
        <v>Mar</v>
      </c>
    </row>
    <row r="299" spans="1:9" x14ac:dyDescent="0.35">
      <c r="A299" t="s">
        <v>60</v>
      </c>
      <c r="B299">
        <v>1298</v>
      </c>
      <c r="C299" t="s">
        <v>9</v>
      </c>
      <c r="D299" t="s">
        <v>14</v>
      </c>
      <c r="E299" t="s">
        <v>11</v>
      </c>
      <c r="F299">
        <v>1</v>
      </c>
      <c r="G299">
        <v>15000</v>
      </c>
      <c r="H299">
        <v>15000</v>
      </c>
      <c r="I299" t="str">
        <f t="shared" si="4"/>
        <v>Jan</v>
      </c>
    </row>
    <row r="300" spans="1:9" x14ac:dyDescent="0.35">
      <c r="A300" t="s">
        <v>119</v>
      </c>
      <c r="B300">
        <v>1299</v>
      </c>
      <c r="C300" t="s">
        <v>13</v>
      </c>
      <c r="D300" t="s">
        <v>18</v>
      </c>
      <c r="E300" t="s">
        <v>15</v>
      </c>
      <c r="F300">
        <v>5</v>
      </c>
      <c r="G300">
        <v>2000</v>
      </c>
      <c r="H300">
        <v>10000</v>
      </c>
      <c r="I300" t="str">
        <f t="shared" si="4"/>
        <v>Jan</v>
      </c>
    </row>
    <row r="301" spans="1:9" x14ac:dyDescent="0.35">
      <c r="A301" t="s">
        <v>105</v>
      </c>
      <c r="B301">
        <v>1300</v>
      </c>
      <c r="C301" t="s">
        <v>20</v>
      </c>
      <c r="D301" t="s">
        <v>31</v>
      </c>
      <c r="E301" t="s">
        <v>29</v>
      </c>
      <c r="F301">
        <v>1</v>
      </c>
      <c r="G301">
        <v>4000</v>
      </c>
      <c r="H301">
        <v>4000</v>
      </c>
      <c r="I301" t="str">
        <f t="shared" si="4"/>
        <v>Apr</v>
      </c>
    </row>
    <row r="302" spans="1:9" x14ac:dyDescent="0.35">
      <c r="A302" t="s">
        <v>56</v>
      </c>
      <c r="B302">
        <v>1301</v>
      </c>
      <c r="C302" t="s">
        <v>13</v>
      </c>
      <c r="D302" t="s">
        <v>10</v>
      </c>
      <c r="E302" t="s">
        <v>29</v>
      </c>
      <c r="F302">
        <v>1</v>
      </c>
      <c r="G302">
        <v>4000</v>
      </c>
      <c r="H302">
        <v>4000</v>
      </c>
      <c r="I302" t="str">
        <f t="shared" si="4"/>
        <v>Feb</v>
      </c>
    </row>
    <row r="303" spans="1:9" x14ac:dyDescent="0.35">
      <c r="A303" t="s">
        <v>30</v>
      </c>
      <c r="B303">
        <v>1302</v>
      </c>
      <c r="C303" t="s">
        <v>9</v>
      </c>
      <c r="D303" t="s">
        <v>14</v>
      </c>
      <c r="E303" t="s">
        <v>29</v>
      </c>
      <c r="F303">
        <v>5</v>
      </c>
      <c r="G303">
        <v>4000</v>
      </c>
      <c r="H303">
        <v>20000</v>
      </c>
      <c r="I303" t="str">
        <f t="shared" si="4"/>
        <v>Mar</v>
      </c>
    </row>
    <row r="304" spans="1:9" x14ac:dyDescent="0.35">
      <c r="A304" t="s">
        <v>141</v>
      </c>
      <c r="B304">
        <v>1303</v>
      </c>
      <c r="C304" t="s">
        <v>20</v>
      </c>
      <c r="D304" t="s">
        <v>14</v>
      </c>
      <c r="E304" t="s">
        <v>11</v>
      </c>
      <c r="F304">
        <v>3</v>
      </c>
      <c r="G304">
        <v>15000</v>
      </c>
      <c r="H304">
        <v>45000</v>
      </c>
      <c r="I304" t="str">
        <f t="shared" si="4"/>
        <v>Feb</v>
      </c>
    </row>
    <row r="305" spans="1:9" x14ac:dyDescent="0.35">
      <c r="A305" t="s">
        <v>72</v>
      </c>
      <c r="B305">
        <v>1304</v>
      </c>
      <c r="C305" t="s">
        <v>13</v>
      </c>
      <c r="D305" t="s">
        <v>34</v>
      </c>
      <c r="E305" t="s">
        <v>27</v>
      </c>
      <c r="F305">
        <v>1</v>
      </c>
      <c r="G305">
        <v>30000</v>
      </c>
      <c r="H305">
        <v>30000</v>
      </c>
      <c r="I305" t="str">
        <f t="shared" si="4"/>
        <v>Apr</v>
      </c>
    </row>
    <row r="306" spans="1:9" x14ac:dyDescent="0.35">
      <c r="A306" t="s">
        <v>175</v>
      </c>
      <c r="B306">
        <v>1305</v>
      </c>
      <c r="C306" t="s">
        <v>13</v>
      </c>
      <c r="D306" t="s">
        <v>34</v>
      </c>
      <c r="E306" t="s">
        <v>15</v>
      </c>
      <c r="F306">
        <v>5</v>
      </c>
      <c r="G306">
        <v>2000</v>
      </c>
      <c r="H306">
        <v>10000</v>
      </c>
      <c r="I306" t="str">
        <f t="shared" si="4"/>
        <v>Jan</v>
      </c>
    </row>
    <row r="307" spans="1:9" x14ac:dyDescent="0.35">
      <c r="A307" t="s">
        <v>160</v>
      </c>
      <c r="B307">
        <v>1306</v>
      </c>
      <c r="C307" t="s">
        <v>17</v>
      </c>
      <c r="D307" t="s">
        <v>14</v>
      </c>
      <c r="E307" t="s">
        <v>27</v>
      </c>
      <c r="F307">
        <v>3</v>
      </c>
      <c r="G307">
        <v>30000</v>
      </c>
      <c r="H307">
        <v>90000</v>
      </c>
      <c r="I307" t="str">
        <f t="shared" si="4"/>
        <v>Jun</v>
      </c>
    </row>
    <row r="308" spans="1:9" x14ac:dyDescent="0.35">
      <c r="A308" t="s">
        <v>176</v>
      </c>
      <c r="B308">
        <v>1307</v>
      </c>
      <c r="C308" t="s">
        <v>9</v>
      </c>
      <c r="D308" t="s">
        <v>21</v>
      </c>
      <c r="E308" t="s">
        <v>15</v>
      </c>
      <c r="F308">
        <v>4</v>
      </c>
      <c r="G308">
        <v>2000</v>
      </c>
      <c r="H308">
        <v>8000</v>
      </c>
      <c r="I308" t="str">
        <f t="shared" si="4"/>
        <v>Mar</v>
      </c>
    </row>
    <row r="309" spans="1:9" x14ac:dyDescent="0.35">
      <c r="A309" t="s">
        <v>104</v>
      </c>
      <c r="B309">
        <v>1308</v>
      </c>
      <c r="C309" t="s">
        <v>13</v>
      </c>
      <c r="D309" t="s">
        <v>18</v>
      </c>
      <c r="E309" t="s">
        <v>11</v>
      </c>
      <c r="F309">
        <v>2</v>
      </c>
      <c r="G309">
        <v>15000</v>
      </c>
      <c r="H309">
        <v>30000</v>
      </c>
      <c r="I309" t="str">
        <f t="shared" si="4"/>
        <v>Jun</v>
      </c>
    </row>
    <row r="310" spans="1:9" x14ac:dyDescent="0.35">
      <c r="A310" t="s">
        <v>160</v>
      </c>
      <c r="B310">
        <v>1309</v>
      </c>
      <c r="C310" t="s">
        <v>17</v>
      </c>
      <c r="D310" t="s">
        <v>21</v>
      </c>
      <c r="E310" t="s">
        <v>15</v>
      </c>
      <c r="F310">
        <v>2</v>
      </c>
      <c r="G310">
        <v>2000</v>
      </c>
      <c r="H310">
        <v>4000</v>
      </c>
      <c r="I310" t="str">
        <f t="shared" si="4"/>
        <v>Jun</v>
      </c>
    </row>
    <row r="311" spans="1:9" x14ac:dyDescent="0.35">
      <c r="A311" t="s">
        <v>98</v>
      </c>
      <c r="B311">
        <v>1310</v>
      </c>
      <c r="C311" t="s">
        <v>13</v>
      </c>
      <c r="D311" t="s">
        <v>14</v>
      </c>
      <c r="E311" t="s">
        <v>24</v>
      </c>
      <c r="F311">
        <v>2</v>
      </c>
      <c r="G311">
        <v>20000</v>
      </c>
      <c r="H311">
        <v>40000</v>
      </c>
      <c r="I311" t="str">
        <f t="shared" si="4"/>
        <v>May</v>
      </c>
    </row>
    <row r="312" spans="1:9" x14ac:dyDescent="0.35">
      <c r="A312" t="s">
        <v>124</v>
      </c>
      <c r="B312">
        <v>1311</v>
      </c>
      <c r="C312" t="s">
        <v>17</v>
      </c>
      <c r="D312" t="s">
        <v>34</v>
      </c>
      <c r="E312" t="s">
        <v>24</v>
      </c>
      <c r="F312">
        <v>2</v>
      </c>
      <c r="G312">
        <v>20000</v>
      </c>
      <c r="H312">
        <v>40000</v>
      </c>
      <c r="I312" t="str">
        <f t="shared" si="4"/>
        <v>Mar</v>
      </c>
    </row>
    <row r="313" spans="1:9" x14ac:dyDescent="0.35">
      <c r="A313" t="s">
        <v>122</v>
      </c>
      <c r="B313">
        <v>1312</v>
      </c>
      <c r="C313" t="s">
        <v>9</v>
      </c>
      <c r="D313" t="s">
        <v>10</v>
      </c>
      <c r="E313" t="s">
        <v>24</v>
      </c>
      <c r="F313">
        <v>1</v>
      </c>
      <c r="G313">
        <v>20000</v>
      </c>
      <c r="H313">
        <v>20000</v>
      </c>
      <c r="I313" t="str">
        <f t="shared" si="4"/>
        <v>Jan</v>
      </c>
    </row>
    <row r="314" spans="1:9" x14ac:dyDescent="0.35">
      <c r="A314" t="s">
        <v>36</v>
      </c>
      <c r="B314">
        <v>1313</v>
      </c>
      <c r="C314" t="s">
        <v>20</v>
      </c>
      <c r="D314" t="s">
        <v>18</v>
      </c>
      <c r="E314" t="s">
        <v>15</v>
      </c>
      <c r="F314">
        <v>3</v>
      </c>
      <c r="G314">
        <v>2000</v>
      </c>
      <c r="H314">
        <v>6000</v>
      </c>
      <c r="I314" t="str">
        <f t="shared" si="4"/>
        <v>Feb</v>
      </c>
    </row>
    <row r="315" spans="1:9" x14ac:dyDescent="0.35">
      <c r="A315" t="s">
        <v>140</v>
      </c>
      <c r="B315">
        <v>1314</v>
      </c>
      <c r="C315" t="s">
        <v>9</v>
      </c>
      <c r="D315" t="s">
        <v>34</v>
      </c>
      <c r="E315" t="s">
        <v>15</v>
      </c>
      <c r="F315">
        <v>4</v>
      </c>
      <c r="G315">
        <v>2000</v>
      </c>
      <c r="H315">
        <v>8000</v>
      </c>
      <c r="I315" t="str">
        <f t="shared" si="4"/>
        <v>May</v>
      </c>
    </row>
    <row r="316" spans="1:9" x14ac:dyDescent="0.35">
      <c r="A316" t="s">
        <v>177</v>
      </c>
      <c r="B316">
        <v>1315</v>
      </c>
      <c r="C316" t="s">
        <v>13</v>
      </c>
      <c r="D316" t="s">
        <v>10</v>
      </c>
      <c r="E316" t="s">
        <v>29</v>
      </c>
      <c r="F316">
        <v>4</v>
      </c>
      <c r="G316">
        <v>4000</v>
      </c>
      <c r="H316">
        <v>16000</v>
      </c>
      <c r="I316" t="str">
        <f t="shared" si="4"/>
        <v>Jun</v>
      </c>
    </row>
    <row r="317" spans="1:9" x14ac:dyDescent="0.35">
      <c r="A317" t="s">
        <v>139</v>
      </c>
      <c r="B317">
        <v>1316</v>
      </c>
      <c r="C317" t="s">
        <v>9</v>
      </c>
      <c r="D317" t="s">
        <v>21</v>
      </c>
      <c r="E317" t="s">
        <v>27</v>
      </c>
      <c r="F317">
        <v>5</v>
      </c>
      <c r="G317">
        <v>30000</v>
      </c>
      <c r="H317">
        <v>150000</v>
      </c>
      <c r="I317" t="str">
        <f t="shared" si="4"/>
        <v>Mar</v>
      </c>
    </row>
    <row r="318" spans="1:9" x14ac:dyDescent="0.35">
      <c r="A318" t="s">
        <v>138</v>
      </c>
      <c r="B318">
        <v>1317</v>
      </c>
      <c r="C318" t="s">
        <v>13</v>
      </c>
      <c r="D318" t="s">
        <v>34</v>
      </c>
      <c r="E318" t="s">
        <v>11</v>
      </c>
      <c r="F318">
        <v>1</v>
      </c>
      <c r="G318">
        <v>15000</v>
      </c>
      <c r="H318">
        <v>15000</v>
      </c>
      <c r="I318" t="str">
        <f t="shared" si="4"/>
        <v>May</v>
      </c>
    </row>
    <row r="319" spans="1:9" x14ac:dyDescent="0.35">
      <c r="A319" t="s">
        <v>178</v>
      </c>
      <c r="B319">
        <v>1318</v>
      </c>
      <c r="C319" t="s">
        <v>9</v>
      </c>
      <c r="D319" t="s">
        <v>10</v>
      </c>
      <c r="E319" t="s">
        <v>24</v>
      </c>
      <c r="F319">
        <v>1</v>
      </c>
      <c r="G319">
        <v>20000</v>
      </c>
      <c r="H319">
        <v>20000</v>
      </c>
      <c r="I319" t="str">
        <f t="shared" si="4"/>
        <v>Jun</v>
      </c>
    </row>
    <row r="320" spans="1:9" x14ac:dyDescent="0.35">
      <c r="A320" t="s">
        <v>179</v>
      </c>
      <c r="B320">
        <v>1319</v>
      </c>
      <c r="C320" t="s">
        <v>13</v>
      </c>
      <c r="D320" t="s">
        <v>21</v>
      </c>
      <c r="E320" t="s">
        <v>29</v>
      </c>
      <c r="F320">
        <v>1</v>
      </c>
      <c r="G320">
        <v>4000</v>
      </c>
      <c r="H320">
        <v>4000</v>
      </c>
      <c r="I320" t="str">
        <f t="shared" si="4"/>
        <v>Jun</v>
      </c>
    </row>
    <row r="321" spans="1:9" x14ac:dyDescent="0.35">
      <c r="A321" t="s">
        <v>180</v>
      </c>
      <c r="B321">
        <v>1320</v>
      </c>
      <c r="C321" t="s">
        <v>20</v>
      </c>
      <c r="D321" t="s">
        <v>31</v>
      </c>
      <c r="E321" t="s">
        <v>27</v>
      </c>
      <c r="F321">
        <v>3</v>
      </c>
      <c r="G321">
        <v>30000</v>
      </c>
      <c r="H321">
        <v>90000</v>
      </c>
      <c r="I321" t="str">
        <f t="shared" si="4"/>
        <v>May</v>
      </c>
    </row>
    <row r="322" spans="1:9" x14ac:dyDescent="0.35">
      <c r="A322" t="s">
        <v>101</v>
      </c>
      <c r="B322">
        <v>1321</v>
      </c>
      <c r="C322" t="s">
        <v>20</v>
      </c>
      <c r="D322" t="s">
        <v>14</v>
      </c>
      <c r="E322" t="s">
        <v>29</v>
      </c>
      <c r="F322">
        <v>5</v>
      </c>
      <c r="G322">
        <v>4000</v>
      </c>
      <c r="H322">
        <v>20000</v>
      </c>
      <c r="I322" t="str">
        <f t="shared" ref="I322:I385" si="5">TEXT(A322,"mmm")</f>
        <v>May</v>
      </c>
    </row>
    <row r="323" spans="1:9" x14ac:dyDescent="0.35">
      <c r="A323" t="s">
        <v>78</v>
      </c>
      <c r="B323">
        <v>1322</v>
      </c>
      <c r="C323" t="s">
        <v>17</v>
      </c>
      <c r="D323" t="s">
        <v>21</v>
      </c>
      <c r="E323" t="s">
        <v>44</v>
      </c>
      <c r="F323">
        <v>1</v>
      </c>
      <c r="G323">
        <v>50000</v>
      </c>
      <c r="H323">
        <v>50000</v>
      </c>
      <c r="I323" t="str">
        <f t="shared" si="5"/>
        <v>Apr</v>
      </c>
    </row>
    <row r="324" spans="1:9" x14ac:dyDescent="0.35">
      <c r="A324" t="s">
        <v>68</v>
      </c>
      <c r="B324">
        <v>1323</v>
      </c>
      <c r="C324" t="s">
        <v>20</v>
      </c>
      <c r="D324" t="s">
        <v>34</v>
      </c>
      <c r="E324" t="s">
        <v>15</v>
      </c>
      <c r="F324">
        <v>3</v>
      </c>
      <c r="G324">
        <v>2000</v>
      </c>
      <c r="H324">
        <v>6000</v>
      </c>
      <c r="I324" t="str">
        <f t="shared" si="5"/>
        <v>Jun</v>
      </c>
    </row>
    <row r="325" spans="1:9" x14ac:dyDescent="0.35">
      <c r="A325" t="s">
        <v>90</v>
      </c>
      <c r="B325">
        <v>1324</v>
      </c>
      <c r="C325" t="s">
        <v>17</v>
      </c>
      <c r="D325" t="s">
        <v>21</v>
      </c>
      <c r="E325" t="s">
        <v>44</v>
      </c>
      <c r="F325">
        <v>4</v>
      </c>
      <c r="G325">
        <v>50000</v>
      </c>
      <c r="H325">
        <v>200000</v>
      </c>
      <c r="I325" t="str">
        <f t="shared" si="5"/>
        <v>Feb</v>
      </c>
    </row>
    <row r="326" spans="1:9" x14ac:dyDescent="0.35">
      <c r="A326" t="s">
        <v>86</v>
      </c>
      <c r="B326">
        <v>1325</v>
      </c>
      <c r="C326" t="s">
        <v>17</v>
      </c>
      <c r="D326" t="s">
        <v>21</v>
      </c>
      <c r="E326" t="s">
        <v>15</v>
      </c>
      <c r="F326">
        <v>4</v>
      </c>
      <c r="G326">
        <v>2000</v>
      </c>
      <c r="H326">
        <v>8000</v>
      </c>
      <c r="I326" t="str">
        <f t="shared" si="5"/>
        <v>Feb</v>
      </c>
    </row>
    <row r="327" spans="1:9" x14ac:dyDescent="0.35">
      <c r="A327" t="s">
        <v>91</v>
      </c>
      <c r="B327">
        <v>1326</v>
      </c>
      <c r="C327" t="s">
        <v>17</v>
      </c>
      <c r="D327" t="s">
        <v>10</v>
      </c>
      <c r="E327" t="s">
        <v>15</v>
      </c>
      <c r="F327">
        <v>5</v>
      </c>
      <c r="G327">
        <v>2000</v>
      </c>
      <c r="H327">
        <v>10000</v>
      </c>
      <c r="I327" t="str">
        <f t="shared" si="5"/>
        <v>Feb</v>
      </c>
    </row>
    <row r="328" spans="1:9" x14ac:dyDescent="0.35">
      <c r="A328" t="s">
        <v>181</v>
      </c>
      <c r="B328">
        <v>1327</v>
      </c>
      <c r="C328" t="s">
        <v>13</v>
      </c>
      <c r="D328" t="s">
        <v>14</v>
      </c>
      <c r="E328" t="s">
        <v>24</v>
      </c>
      <c r="F328">
        <v>4</v>
      </c>
      <c r="G328">
        <v>20000</v>
      </c>
      <c r="H328">
        <v>80000</v>
      </c>
      <c r="I328" t="str">
        <f t="shared" si="5"/>
        <v>Apr</v>
      </c>
    </row>
    <row r="329" spans="1:9" x14ac:dyDescent="0.35">
      <c r="A329" t="s">
        <v>145</v>
      </c>
      <c r="B329">
        <v>1328</v>
      </c>
      <c r="C329" t="s">
        <v>13</v>
      </c>
      <c r="D329" t="s">
        <v>21</v>
      </c>
      <c r="E329" t="s">
        <v>24</v>
      </c>
      <c r="F329">
        <v>4</v>
      </c>
      <c r="G329">
        <v>20000</v>
      </c>
      <c r="H329">
        <v>80000</v>
      </c>
      <c r="I329" t="str">
        <f t="shared" si="5"/>
        <v>May</v>
      </c>
    </row>
    <row r="330" spans="1:9" x14ac:dyDescent="0.35">
      <c r="A330" t="s">
        <v>32</v>
      </c>
      <c r="B330">
        <v>1329</v>
      </c>
      <c r="C330" t="s">
        <v>9</v>
      </c>
      <c r="D330" t="s">
        <v>31</v>
      </c>
      <c r="E330" t="s">
        <v>11</v>
      </c>
      <c r="F330">
        <v>5</v>
      </c>
      <c r="G330">
        <v>15000</v>
      </c>
      <c r="H330">
        <v>75000</v>
      </c>
      <c r="I330" t="str">
        <f t="shared" si="5"/>
        <v>May</v>
      </c>
    </row>
    <row r="331" spans="1:9" x14ac:dyDescent="0.35">
      <c r="A331" t="s">
        <v>180</v>
      </c>
      <c r="B331">
        <v>1330</v>
      </c>
      <c r="C331" t="s">
        <v>20</v>
      </c>
      <c r="D331" t="s">
        <v>31</v>
      </c>
      <c r="E331" t="s">
        <v>15</v>
      </c>
      <c r="F331">
        <v>3</v>
      </c>
      <c r="G331">
        <v>2000</v>
      </c>
      <c r="H331">
        <v>6000</v>
      </c>
      <c r="I331" t="str">
        <f t="shared" si="5"/>
        <v>May</v>
      </c>
    </row>
    <row r="332" spans="1:9" x14ac:dyDescent="0.35">
      <c r="A332" t="s">
        <v>139</v>
      </c>
      <c r="B332">
        <v>1331</v>
      </c>
      <c r="C332" t="s">
        <v>20</v>
      </c>
      <c r="D332" t="s">
        <v>14</v>
      </c>
      <c r="E332" t="s">
        <v>44</v>
      </c>
      <c r="F332">
        <v>1</v>
      </c>
      <c r="G332">
        <v>50000</v>
      </c>
      <c r="H332">
        <v>50000</v>
      </c>
      <c r="I332" t="str">
        <f t="shared" si="5"/>
        <v>Mar</v>
      </c>
    </row>
    <row r="333" spans="1:9" x14ac:dyDescent="0.35">
      <c r="A333" t="s">
        <v>56</v>
      </c>
      <c r="B333">
        <v>1332</v>
      </c>
      <c r="C333" t="s">
        <v>13</v>
      </c>
      <c r="D333" t="s">
        <v>18</v>
      </c>
      <c r="E333" t="s">
        <v>29</v>
      </c>
      <c r="F333">
        <v>5</v>
      </c>
      <c r="G333">
        <v>4000</v>
      </c>
      <c r="H333">
        <v>20000</v>
      </c>
      <c r="I333" t="str">
        <f t="shared" si="5"/>
        <v>Feb</v>
      </c>
    </row>
    <row r="334" spans="1:9" x14ac:dyDescent="0.35">
      <c r="A334" t="s">
        <v>141</v>
      </c>
      <c r="B334">
        <v>1333</v>
      </c>
      <c r="C334" t="s">
        <v>20</v>
      </c>
      <c r="D334" t="s">
        <v>31</v>
      </c>
      <c r="E334" t="s">
        <v>15</v>
      </c>
      <c r="F334">
        <v>1</v>
      </c>
      <c r="G334">
        <v>2000</v>
      </c>
      <c r="H334">
        <v>2000</v>
      </c>
      <c r="I334" t="str">
        <f t="shared" si="5"/>
        <v>Feb</v>
      </c>
    </row>
    <row r="335" spans="1:9" x14ac:dyDescent="0.35">
      <c r="A335" t="s">
        <v>109</v>
      </c>
      <c r="B335">
        <v>1334</v>
      </c>
      <c r="C335" t="s">
        <v>17</v>
      </c>
      <c r="D335" t="s">
        <v>31</v>
      </c>
      <c r="E335" t="s">
        <v>44</v>
      </c>
      <c r="F335">
        <v>5</v>
      </c>
      <c r="G335">
        <v>50000</v>
      </c>
      <c r="H335">
        <v>250000</v>
      </c>
      <c r="I335" t="str">
        <f t="shared" si="5"/>
        <v>Jan</v>
      </c>
    </row>
    <row r="336" spans="1:9" x14ac:dyDescent="0.35">
      <c r="A336" t="s">
        <v>182</v>
      </c>
      <c r="B336">
        <v>1335</v>
      </c>
      <c r="C336" t="s">
        <v>9</v>
      </c>
      <c r="D336" t="s">
        <v>21</v>
      </c>
      <c r="E336" t="s">
        <v>27</v>
      </c>
      <c r="F336">
        <v>1</v>
      </c>
      <c r="G336">
        <v>30000</v>
      </c>
      <c r="H336">
        <v>30000</v>
      </c>
      <c r="I336" t="str">
        <f t="shared" si="5"/>
        <v>Feb</v>
      </c>
    </row>
    <row r="337" spans="1:9" x14ac:dyDescent="0.35">
      <c r="A337" t="s">
        <v>139</v>
      </c>
      <c r="B337">
        <v>1336</v>
      </c>
      <c r="C337" t="s">
        <v>17</v>
      </c>
      <c r="D337" t="s">
        <v>14</v>
      </c>
      <c r="E337" t="s">
        <v>15</v>
      </c>
      <c r="F337">
        <v>4</v>
      </c>
      <c r="G337">
        <v>2000</v>
      </c>
      <c r="H337">
        <v>8000</v>
      </c>
      <c r="I337" t="str">
        <f t="shared" si="5"/>
        <v>Mar</v>
      </c>
    </row>
    <row r="338" spans="1:9" x14ac:dyDescent="0.35">
      <c r="A338" t="s">
        <v>153</v>
      </c>
      <c r="B338">
        <v>1337</v>
      </c>
      <c r="C338" t="s">
        <v>13</v>
      </c>
      <c r="D338" t="s">
        <v>14</v>
      </c>
      <c r="E338" t="s">
        <v>24</v>
      </c>
      <c r="F338">
        <v>1</v>
      </c>
      <c r="G338">
        <v>20000</v>
      </c>
      <c r="H338">
        <v>20000</v>
      </c>
      <c r="I338" t="str">
        <f t="shared" si="5"/>
        <v>Apr</v>
      </c>
    </row>
    <row r="339" spans="1:9" x14ac:dyDescent="0.35">
      <c r="A339" t="s">
        <v>167</v>
      </c>
      <c r="B339">
        <v>1338</v>
      </c>
      <c r="C339" t="s">
        <v>13</v>
      </c>
      <c r="D339" t="s">
        <v>31</v>
      </c>
      <c r="E339" t="s">
        <v>11</v>
      </c>
      <c r="F339">
        <v>3</v>
      </c>
      <c r="G339">
        <v>15000</v>
      </c>
      <c r="H339">
        <v>45000</v>
      </c>
      <c r="I339" t="str">
        <f t="shared" si="5"/>
        <v>Feb</v>
      </c>
    </row>
    <row r="340" spans="1:9" x14ac:dyDescent="0.35">
      <c r="A340" t="s">
        <v>95</v>
      </c>
      <c r="B340">
        <v>1339</v>
      </c>
      <c r="C340" t="s">
        <v>9</v>
      </c>
      <c r="D340" t="s">
        <v>31</v>
      </c>
      <c r="E340" t="s">
        <v>44</v>
      </c>
      <c r="F340">
        <v>4</v>
      </c>
      <c r="G340">
        <v>50000</v>
      </c>
      <c r="H340">
        <v>200000</v>
      </c>
      <c r="I340" t="str">
        <f t="shared" si="5"/>
        <v>Feb</v>
      </c>
    </row>
    <row r="341" spans="1:9" x14ac:dyDescent="0.35">
      <c r="A341" t="s">
        <v>123</v>
      </c>
      <c r="B341">
        <v>1340</v>
      </c>
      <c r="C341" t="s">
        <v>20</v>
      </c>
      <c r="D341" t="s">
        <v>21</v>
      </c>
      <c r="E341" t="s">
        <v>11</v>
      </c>
      <c r="F341">
        <v>5</v>
      </c>
      <c r="G341">
        <v>15000</v>
      </c>
      <c r="H341">
        <v>75000</v>
      </c>
      <c r="I341" t="str">
        <f t="shared" si="5"/>
        <v>Jun</v>
      </c>
    </row>
    <row r="342" spans="1:9" x14ac:dyDescent="0.35">
      <c r="A342" t="s">
        <v>63</v>
      </c>
      <c r="B342">
        <v>1341</v>
      </c>
      <c r="C342" t="s">
        <v>13</v>
      </c>
      <c r="D342" t="s">
        <v>18</v>
      </c>
      <c r="E342" t="s">
        <v>15</v>
      </c>
      <c r="F342">
        <v>3</v>
      </c>
      <c r="G342">
        <v>2000</v>
      </c>
      <c r="H342">
        <v>6000</v>
      </c>
      <c r="I342" t="str">
        <f t="shared" si="5"/>
        <v>Jan</v>
      </c>
    </row>
    <row r="343" spans="1:9" x14ac:dyDescent="0.35">
      <c r="A343" t="s">
        <v>181</v>
      </c>
      <c r="B343">
        <v>1342</v>
      </c>
      <c r="C343" t="s">
        <v>13</v>
      </c>
      <c r="D343" t="s">
        <v>14</v>
      </c>
      <c r="E343" t="s">
        <v>27</v>
      </c>
      <c r="F343">
        <v>2</v>
      </c>
      <c r="G343">
        <v>30000</v>
      </c>
      <c r="H343">
        <v>60000</v>
      </c>
      <c r="I343" t="str">
        <f t="shared" si="5"/>
        <v>Apr</v>
      </c>
    </row>
    <row r="344" spans="1:9" x14ac:dyDescent="0.35">
      <c r="A344" t="s">
        <v>183</v>
      </c>
      <c r="B344">
        <v>1343</v>
      </c>
      <c r="C344" t="s">
        <v>20</v>
      </c>
      <c r="D344" t="s">
        <v>21</v>
      </c>
      <c r="E344" t="s">
        <v>44</v>
      </c>
      <c r="F344">
        <v>5</v>
      </c>
      <c r="G344">
        <v>50000</v>
      </c>
      <c r="H344">
        <v>250000</v>
      </c>
      <c r="I344" t="str">
        <f t="shared" si="5"/>
        <v>Mar</v>
      </c>
    </row>
    <row r="345" spans="1:9" x14ac:dyDescent="0.35">
      <c r="A345" t="s">
        <v>109</v>
      </c>
      <c r="B345">
        <v>1344</v>
      </c>
      <c r="C345" t="s">
        <v>20</v>
      </c>
      <c r="D345" t="s">
        <v>18</v>
      </c>
      <c r="E345" t="s">
        <v>44</v>
      </c>
      <c r="F345">
        <v>1</v>
      </c>
      <c r="G345">
        <v>50000</v>
      </c>
      <c r="H345">
        <v>50000</v>
      </c>
      <c r="I345" t="str">
        <f t="shared" si="5"/>
        <v>Jan</v>
      </c>
    </row>
    <row r="346" spans="1:9" x14ac:dyDescent="0.35">
      <c r="A346" t="s">
        <v>89</v>
      </c>
      <c r="B346">
        <v>1345</v>
      </c>
      <c r="C346" t="s">
        <v>17</v>
      </c>
      <c r="D346" t="s">
        <v>21</v>
      </c>
      <c r="E346" t="s">
        <v>44</v>
      </c>
      <c r="F346">
        <v>3</v>
      </c>
      <c r="G346">
        <v>50000</v>
      </c>
      <c r="H346">
        <v>150000</v>
      </c>
      <c r="I346" t="str">
        <f t="shared" si="5"/>
        <v>Jun</v>
      </c>
    </row>
    <row r="347" spans="1:9" x14ac:dyDescent="0.35">
      <c r="A347" t="s">
        <v>38</v>
      </c>
      <c r="B347">
        <v>1346</v>
      </c>
      <c r="C347" t="s">
        <v>9</v>
      </c>
      <c r="D347" t="s">
        <v>34</v>
      </c>
      <c r="E347" t="s">
        <v>11</v>
      </c>
      <c r="F347">
        <v>1</v>
      </c>
      <c r="G347">
        <v>15000</v>
      </c>
      <c r="H347">
        <v>15000</v>
      </c>
      <c r="I347" t="str">
        <f t="shared" si="5"/>
        <v>Jun</v>
      </c>
    </row>
    <row r="348" spans="1:9" x14ac:dyDescent="0.35">
      <c r="A348" t="s">
        <v>56</v>
      </c>
      <c r="B348">
        <v>1347</v>
      </c>
      <c r="C348" t="s">
        <v>20</v>
      </c>
      <c r="D348" t="s">
        <v>31</v>
      </c>
      <c r="E348" t="s">
        <v>24</v>
      </c>
      <c r="F348">
        <v>2</v>
      </c>
      <c r="G348">
        <v>20000</v>
      </c>
      <c r="H348">
        <v>40000</v>
      </c>
      <c r="I348" t="str">
        <f t="shared" si="5"/>
        <v>Feb</v>
      </c>
    </row>
    <row r="349" spans="1:9" x14ac:dyDescent="0.35">
      <c r="A349" t="s">
        <v>184</v>
      </c>
      <c r="B349">
        <v>1348</v>
      </c>
      <c r="C349" t="s">
        <v>9</v>
      </c>
      <c r="D349" t="s">
        <v>10</v>
      </c>
      <c r="E349" t="s">
        <v>11</v>
      </c>
      <c r="F349">
        <v>3</v>
      </c>
      <c r="G349">
        <v>15000</v>
      </c>
      <c r="H349">
        <v>45000</v>
      </c>
      <c r="I349" t="str">
        <f t="shared" si="5"/>
        <v>May</v>
      </c>
    </row>
    <row r="350" spans="1:9" x14ac:dyDescent="0.35">
      <c r="A350" t="s">
        <v>170</v>
      </c>
      <c r="B350">
        <v>1349</v>
      </c>
      <c r="C350" t="s">
        <v>13</v>
      </c>
      <c r="D350" t="s">
        <v>10</v>
      </c>
      <c r="E350" t="s">
        <v>24</v>
      </c>
      <c r="F350">
        <v>2</v>
      </c>
      <c r="G350">
        <v>20000</v>
      </c>
      <c r="H350">
        <v>40000</v>
      </c>
      <c r="I350" t="str">
        <f t="shared" si="5"/>
        <v>Apr</v>
      </c>
    </row>
    <row r="351" spans="1:9" x14ac:dyDescent="0.35">
      <c r="A351" t="s">
        <v>92</v>
      </c>
      <c r="B351">
        <v>1350</v>
      </c>
      <c r="C351" t="s">
        <v>9</v>
      </c>
      <c r="D351" t="s">
        <v>14</v>
      </c>
      <c r="E351" t="s">
        <v>29</v>
      </c>
      <c r="F351">
        <v>1</v>
      </c>
      <c r="G351">
        <v>4000</v>
      </c>
      <c r="H351">
        <v>4000</v>
      </c>
      <c r="I351" t="str">
        <f t="shared" si="5"/>
        <v>Jan</v>
      </c>
    </row>
    <row r="352" spans="1:9" x14ac:dyDescent="0.35">
      <c r="A352" t="s">
        <v>43</v>
      </c>
      <c r="B352">
        <v>1351</v>
      </c>
      <c r="C352" t="s">
        <v>17</v>
      </c>
      <c r="D352" t="s">
        <v>34</v>
      </c>
      <c r="E352" t="s">
        <v>24</v>
      </c>
      <c r="F352">
        <v>5</v>
      </c>
      <c r="G352">
        <v>20000</v>
      </c>
      <c r="H352">
        <v>100000</v>
      </c>
      <c r="I352" t="str">
        <f t="shared" si="5"/>
        <v>Apr</v>
      </c>
    </row>
    <row r="353" spans="1:9" x14ac:dyDescent="0.35">
      <c r="A353" t="s">
        <v>154</v>
      </c>
      <c r="B353">
        <v>1352</v>
      </c>
      <c r="C353" t="s">
        <v>20</v>
      </c>
      <c r="D353" t="s">
        <v>10</v>
      </c>
      <c r="E353" t="s">
        <v>11</v>
      </c>
      <c r="F353">
        <v>2</v>
      </c>
      <c r="G353">
        <v>15000</v>
      </c>
      <c r="H353">
        <v>30000</v>
      </c>
      <c r="I353" t="str">
        <f t="shared" si="5"/>
        <v>Jun</v>
      </c>
    </row>
    <row r="354" spans="1:9" x14ac:dyDescent="0.35">
      <c r="A354" t="s">
        <v>110</v>
      </c>
      <c r="B354">
        <v>1353</v>
      </c>
      <c r="C354" t="s">
        <v>20</v>
      </c>
      <c r="D354" t="s">
        <v>10</v>
      </c>
      <c r="E354" t="s">
        <v>27</v>
      </c>
      <c r="F354">
        <v>3</v>
      </c>
      <c r="G354">
        <v>30000</v>
      </c>
      <c r="H354">
        <v>90000</v>
      </c>
      <c r="I354" t="str">
        <f t="shared" si="5"/>
        <v>Jan</v>
      </c>
    </row>
    <row r="355" spans="1:9" x14ac:dyDescent="0.35">
      <c r="A355" t="s">
        <v>120</v>
      </c>
      <c r="B355">
        <v>1354</v>
      </c>
      <c r="C355" t="s">
        <v>17</v>
      </c>
      <c r="D355" t="s">
        <v>10</v>
      </c>
      <c r="E355" t="s">
        <v>29</v>
      </c>
      <c r="F355">
        <v>3</v>
      </c>
      <c r="G355">
        <v>4000</v>
      </c>
      <c r="H355">
        <v>12000</v>
      </c>
      <c r="I355" t="str">
        <f t="shared" si="5"/>
        <v>Mar</v>
      </c>
    </row>
    <row r="356" spans="1:9" x14ac:dyDescent="0.35">
      <c r="A356" t="s">
        <v>158</v>
      </c>
      <c r="B356">
        <v>1355</v>
      </c>
      <c r="C356" t="s">
        <v>20</v>
      </c>
      <c r="D356" t="s">
        <v>14</v>
      </c>
      <c r="E356" t="s">
        <v>15</v>
      </c>
      <c r="F356">
        <v>1</v>
      </c>
      <c r="G356">
        <v>2000</v>
      </c>
      <c r="H356">
        <v>2000</v>
      </c>
      <c r="I356" t="str">
        <f t="shared" si="5"/>
        <v>Feb</v>
      </c>
    </row>
    <row r="357" spans="1:9" x14ac:dyDescent="0.35">
      <c r="A357" t="s">
        <v>172</v>
      </c>
      <c r="B357">
        <v>1356</v>
      </c>
      <c r="C357" t="s">
        <v>13</v>
      </c>
      <c r="D357" t="s">
        <v>18</v>
      </c>
      <c r="E357" t="s">
        <v>29</v>
      </c>
      <c r="F357">
        <v>2</v>
      </c>
      <c r="G357">
        <v>4000</v>
      </c>
      <c r="H357">
        <v>8000</v>
      </c>
      <c r="I357" t="str">
        <f t="shared" si="5"/>
        <v>Mar</v>
      </c>
    </row>
    <row r="358" spans="1:9" x14ac:dyDescent="0.35">
      <c r="A358" t="s">
        <v>150</v>
      </c>
      <c r="B358">
        <v>1357</v>
      </c>
      <c r="C358" t="s">
        <v>20</v>
      </c>
      <c r="D358" t="s">
        <v>18</v>
      </c>
      <c r="E358" t="s">
        <v>15</v>
      </c>
      <c r="F358">
        <v>4</v>
      </c>
      <c r="G358">
        <v>2000</v>
      </c>
      <c r="H358">
        <v>8000</v>
      </c>
      <c r="I358" t="str">
        <f t="shared" si="5"/>
        <v>Jan</v>
      </c>
    </row>
    <row r="359" spans="1:9" x14ac:dyDescent="0.35">
      <c r="A359" t="s">
        <v>84</v>
      </c>
      <c r="B359">
        <v>1358</v>
      </c>
      <c r="C359" t="s">
        <v>13</v>
      </c>
      <c r="D359" t="s">
        <v>10</v>
      </c>
      <c r="E359" t="s">
        <v>11</v>
      </c>
      <c r="F359">
        <v>5</v>
      </c>
      <c r="G359">
        <v>15000</v>
      </c>
      <c r="H359">
        <v>75000</v>
      </c>
      <c r="I359" t="str">
        <f t="shared" si="5"/>
        <v>Mar</v>
      </c>
    </row>
    <row r="360" spans="1:9" x14ac:dyDescent="0.35">
      <c r="A360" t="s">
        <v>74</v>
      </c>
      <c r="B360">
        <v>1359</v>
      </c>
      <c r="C360" t="s">
        <v>13</v>
      </c>
      <c r="D360" t="s">
        <v>31</v>
      </c>
      <c r="E360" t="s">
        <v>44</v>
      </c>
      <c r="F360">
        <v>3</v>
      </c>
      <c r="G360">
        <v>50000</v>
      </c>
      <c r="H360">
        <v>150000</v>
      </c>
      <c r="I360" t="str">
        <f t="shared" si="5"/>
        <v>May</v>
      </c>
    </row>
    <row r="361" spans="1:9" x14ac:dyDescent="0.35">
      <c r="A361" t="s">
        <v>117</v>
      </c>
      <c r="B361">
        <v>1360</v>
      </c>
      <c r="C361" t="s">
        <v>17</v>
      </c>
      <c r="D361" t="s">
        <v>14</v>
      </c>
      <c r="E361" t="s">
        <v>15</v>
      </c>
      <c r="F361">
        <v>4</v>
      </c>
      <c r="G361">
        <v>2000</v>
      </c>
      <c r="H361">
        <v>8000</v>
      </c>
      <c r="I361" t="str">
        <f t="shared" si="5"/>
        <v>Jun</v>
      </c>
    </row>
    <row r="362" spans="1:9" x14ac:dyDescent="0.35">
      <c r="A362" t="s">
        <v>72</v>
      </c>
      <c r="B362">
        <v>1361</v>
      </c>
      <c r="C362" t="s">
        <v>13</v>
      </c>
      <c r="D362" t="s">
        <v>31</v>
      </c>
      <c r="E362" t="s">
        <v>44</v>
      </c>
      <c r="F362">
        <v>3</v>
      </c>
      <c r="G362">
        <v>50000</v>
      </c>
      <c r="H362">
        <v>150000</v>
      </c>
      <c r="I362" t="str">
        <f t="shared" si="5"/>
        <v>Apr</v>
      </c>
    </row>
    <row r="363" spans="1:9" x14ac:dyDescent="0.35">
      <c r="A363" t="s">
        <v>185</v>
      </c>
      <c r="B363">
        <v>1362</v>
      </c>
      <c r="C363" t="s">
        <v>17</v>
      </c>
      <c r="D363" t="s">
        <v>14</v>
      </c>
      <c r="E363" t="s">
        <v>11</v>
      </c>
      <c r="F363">
        <v>5</v>
      </c>
      <c r="G363">
        <v>15000</v>
      </c>
      <c r="H363">
        <v>75000</v>
      </c>
      <c r="I363" t="str">
        <f t="shared" si="5"/>
        <v>Feb</v>
      </c>
    </row>
    <row r="364" spans="1:9" x14ac:dyDescent="0.35">
      <c r="A364" t="s">
        <v>122</v>
      </c>
      <c r="B364">
        <v>1363</v>
      </c>
      <c r="C364" t="s">
        <v>13</v>
      </c>
      <c r="D364" t="s">
        <v>18</v>
      </c>
      <c r="E364" t="s">
        <v>11</v>
      </c>
      <c r="F364">
        <v>4</v>
      </c>
      <c r="G364">
        <v>15000</v>
      </c>
      <c r="H364">
        <v>60000</v>
      </c>
      <c r="I364" t="str">
        <f t="shared" si="5"/>
        <v>Jan</v>
      </c>
    </row>
    <row r="365" spans="1:9" x14ac:dyDescent="0.35">
      <c r="A365" t="s">
        <v>46</v>
      </c>
      <c r="B365">
        <v>1364</v>
      </c>
      <c r="C365" t="s">
        <v>9</v>
      </c>
      <c r="D365" t="s">
        <v>31</v>
      </c>
      <c r="E365" t="s">
        <v>29</v>
      </c>
      <c r="F365">
        <v>2</v>
      </c>
      <c r="G365">
        <v>4000</v>
      </c>
      <c r="H365">
        <v>8000</v>
      </c>
      <c r="I365" t="str">
        <f t="shared" si="5"/>
        <v>Apr</v>
      </c>
    </row>
    <row r="366" spans="1:9" x14ac:dyDescent="0.35">
      <c r="A366" t="s">
        <v>61</v>
      </c>
      <c r="B366">
        <v>1365</v>
      </c>
      <c r="C366" t="s">
        <v>13</v>
      </c>
      <c r="D366" t="s">
        <v>34</v>
      </c>
      <c r="E366" t="s">
        <v>29</v>
      </c>
      <c r="F366">
        <v>2</v>
      </c>
      <c r="G366">
        <v>4000</v>
      </c>
      <c r="H366">
        <v>8000</v>
      </c>
      <c r="I366" t="str">
        <f t="shared" si="5"/>
        <v>Apr</v>
      </c>
    </row>
    <row r="367" spans="1:9" x14ac:dyDescent="0.35">
      <c r="A367" t="s">
        <v>69</v>
      </c>
      <c r="B367">
        <v>1366</v>
      </c>
      <c r="C367" t="s">
        <v>20</v>
      </c>
      <c r="D367" t="s">
        <v>21</v>
      </c>
      <c r="E367" t="s">
        <v>15</v>
      </c>
      <c r="F367">
        <v>2</v>
      </c>
      <c r="G367">
        <v>2000</v>
      </c>
      <c r="H367">
        <v>4000</v>
      </c>
      <c r="I367" t="str">
        <f t="shared" si="5"/>
        <v>Apr</v>
      </c>
    </row>
    <row r="368" spans="1:9" x14ac:dyDescent="0.35">
      <c r="A368" t="s">
        <v>62</v>
      </c>
      <c r="B368">
        <v>1367</v>
      </c>
      <c r="C368" t="s">
        <v>9</v>
      </c>
      <c r="D368" t="s">
        <v>10</v>
      </c>
      <c r="E368" t="s">
        <v>44</v>
      </c>
      <c r="F368">
        <v>4</v>
      </c>
      <c r="G368">
        <v>50000</v>
      </c>
      <c r="H368">
        <v>200000</v>
      </c>
      <c r="I368" t="str">
        <f t="shared" si="5"/>
        <v>Apr</v>
      </c>
    </row>
    <row r="369" spans="1:9" x14ac:dyDescent="0.35">
      <c r="A369" t="s">
        <v>36</v>
      </c>
      <c r="B369">
        <v>1368</v>
      </c>
      <c r="C369" t="s">
        <v>17</v>
      </c>
      <c r="D369" t="s">
        <v>18</v>
      </c>
      <c r="E369" t="s">
        <v>29</v>
      </c>
      <c r="F369">
        <v>5</v>
      </c>
      <c r="G369">
        <v>4000</v>
      </c>
      <c r="H369">
        <v>20000</v>
      </c>
      <c r="I369" t="str">
        <f t="shared" si="5"/>
        <v>Feb</v>
      </c>
    </row>
    <row r="370" spans="1:9" x14ac:dyDescent="0.35">
      <c r="A370" t="s">
        <v>90</v>
      </c>
      <c r="B370">
        <v>1369</v>
      </c>
      <c r="C370" t="s">
        <v>9</v>
      </c>
      <c r="D370" t="s">
        <v>14</v>
      </c>
      <c r="E370" t="s">
        <v>24</v>
      </c>
      <c r="F370">
        <v>5</v>
      </c>
      <c r="G370">
        <v>20000</v>
      </c>
      <c r="H370">
        <v>100000</v>
      </c>
      <c r="I370" t="str">
        <f t="shared" si="5"/>
        <v>Feb</v>
      </c>
    </row>
    <row r="371" spans="1:9" x14ac:dyDescent="0.35">
      <c r="A371" t="s">
        <v>33</v>
      </c>
      <c r="B371">
        <v>1370</v>
      </c>
      <c r="C371" t="s">
        <v>9</v>
      </c>
      <c r="D371" t="s">
        <v>18</v>
      </c>
      <c r="E371" t="s">
        <v>11</v>
      </c>
      <c r="F371">
        <v>3</v>
      </c>
      <c r="G371">
        <v>15000</v>
      </c>
      <c r="H371">
        <v>45000</v>
      </c>
      <c r="I371" t="str">
        <f t="shared" si="5"/>
        <v>Apr</v>
      </c>
    </row>
    <row r="372" spans="1:9" x14ac:dyDescent="0.35">
      <c r="A372" t="s">
        <v>157</v>
      </c>
      <c r="B372">
        <v>1371</v>
      </c>
      <c r="C372" t="s">
        <v>13</v>
      </c>
      <c r="D372" t="s">
        <v>10</v>
      </c>
      <c r="E372" t="s">
        <v>15</v>
      </c>
      <c r="F372">
        <v>4</v>
      </c>
      <c r="G372">
        <v>2000</v>
      </c>
      <c r="H372">
        <v>8000</v>
      </c>
      <c r="I372" t="str">
        <f t="shared" si="5"/>
        <v>Mar</v>
      </c>
    </row>
    <row r="373" spans="1:9" x14ac:dyDescent="0.35">
      <c r="A373" t="s">
        <v>148</v>
      </c>
      <c r="B373">
        <v>1372</v>
      </c>
      <c r="C373" t="s">
        <v>13</v>
      </c>
      <c r="D373" t="s">
        <v>34</v>
      </c>
      <c r="E373" t="s">
        <v>27</v>
      </c>
      <c r="F373">
        <v>3</v>
      </c>
      <c r="G373">
        <v>30000</v>
      </c>
      <c r="H373">
        <v>90000</v>
      </c>
      <c r="I373" t="str">
        <f t="shared" si="5"/>
        <v>Jan</v>
      </c>
    </row>
    <row r="374" spans="1:9" x14ac:dyDescent="0.35">
      <c r="A374" t="s">
        <v>65</v>
      </c>
      <c r="B374">
        <v>1373</v>
      </c>
      <c r="C374" t="s">
        <v>20</v>
      </c>
      <c r="D374" t="s">
        <v>10</v>
      </c>
      <c r="E374" t="s">
        <v>24</v>
      </c>
      <c r="F374">
        <v>2</v>
      </c>
      <c r="G374">
        <v>20000</v>
      </c>
      <c r="H374">
        <v>40000</v>
      </c>
      <c r="I374" t="str">
        <f t="shared" si="5"/>
        <v>Feb</v>
      </c>
    </row>
    <row r="375" spans="1:9" x14ac:dyDescent="0.35">
      <c r="A375" t="s">
        <v>170</v>
      </c>
      <c r="B375">
        <v>1374</v>
      </c>
      <c r="C375" t="s">
        <v>17</v>
      </c>
      <c r="D375" t="s">
        <v>34</v>
      </c>
      <c r="E375" t="s">
        <v>29</v>
      </c>
      <c r="F375">
        <v>4</v>
      </c>
      <c r="G375">
        <v>4000</v>
      </c>
      <c r="H375">
        <v>16000</v>
      </c>
      <c r="I375" t="str">
        <f t="shared" si="5"/>
        <v>Apr</v>
      </c>
    </row>
    <row r="376" spans="1:9" x14ac:dyDescent="0.35">
      <c r="A376" t="s">
        <v>102</v>
      </c>
      <c r="B376">
        <v>1375</v>
      </c>
      <c r="C376" t="s">
        <v>20</v>
      </c>
      <c r="D376" t="s">
        <v>31</v>
      </c>
      <c r="E376" t="s">
        <v>24</v>
      </c>
      <c r="F376">
        <v>2</v>
      </c>
      <c r="G376">
        <v>20000</v>
      </c>
      <c r="H376">
        <v>40000</v>
      </c>
      <c r="I376" t="str">
        <f t="shared" si="5"/>
        <v>Feb</v>
      </c>
    </row>
    <row r="377" spans="1:9" x14ac:dyDescent="0.35">
      <c r="A377" t="s">
        <v>40</v>
      </c>
      <c r="B377">
        <v>1376</v>
      </c>
      <c r="C377" t="s">
        <v>9</v>
      </c>
      <c r="D377" t="s">
        <v>14</v>
      </c>
      <c r="E377" t="s">
        <v>11</v>
      </c>
      <c r="F377">
        <v>4</v>
      </c>
      <c r="G377">
        <v>15000</v>
      </c>
      <c r="H377">
        <v>60000</v>
      </c>
      <c r="I377" t="str">
        <f t="shared" si="5"/>
        <v>Apr</v>
      </c>
    </row>
    <row r="378" spans="1:9" x14ac:dyDescent="0.35">
      <c r="A378" t="s">
        <v>173</v>
      </c>
      <c r="B378">
        <v>1377</v>
      </c>
      <c r="C378" t="s">
        <v>20</v>
      </c>
      <c r="D378" t="s">
        <v>21</v>
      </c>
      <c r="E378" t="s">
        <v>44</v>
      </c>
      <c r="F378">
        <v>3</v>
      </c>
      <c r="G378">
        <v>50000</v>
      </c>
      <c r="H378">
        <v>150000</v>
      </c>
      <c r="I378" t="str">
        <f t="shared" si="5"/>
        <v>Jun</v>
      </c>
    </row>
    <row r="379" spans="1:9" x14ac:dyDescent="0.35">
      <c r="A379" t="s">
        <v>97</v>
      </c>
      <c r="B379">
        <v>1378</v>
      </c>
      <c r="C379" t="s">
        <v>17</v>
      </c>
      <c r="D379" t="s">
        <v>14</v>
      </c>
      <c r="E379" t="s">
        <v>11</v>
      </c>
      <c r="F379">
        <v>3</v>
      </c>
      <c r="G379">
        <v>15000</v>
      </c>
      <c r="H379">
        <v>45000</v>
      </c>
      <c r="I379" t="str">
        <f t="shared" si="5"/>
        <v>May</v>
      </c>
    </row>
    <row r="380" spans="1:9" x14ac:dyDescent="0.35">
      <c r="A380" t="s">
        <v>177</v>
      </c>
      <c r="B380">
        <v>1379</v>
      </c>
      <c r="C380" t="s">
        <v>9</v>
      </c>
      <c r="D380" t="s">
        <v>34</v>
      </c>
      <c r="E380" t="s">
        <v>15</v>
      </c>
      <c r="F380">
        <v>4</v>
      </c>
      <c r="G380">
        <v>2000</v>
      </c>
      <c r="H380">
        <v>8000</v>
      </c>
      <c r="I380" t="str">
        <f t="shared" si="5"/>
        <v>Jun</v>
      </c>
    </row>
    <row r="381" spans="1:9" x14ac:dyDescent="0.35">
      <c r="A381" t="s">
        <v>23</v>
      </c>
      <c r="B381">
        <v>1380</v>
      </c>
      <c r="C381" t="s">
        <v>20</v>
      </c>
      <c r="D381" t="s">
        <v>34</v>
      </c>
      <c r="E381" t="s">
        <v>24</v>
      </c>
      <c r="F381">
        <v>1</v>
      </c>
      <c r="G381">
        <v>20000</v>
      </c>
      <c r="H381">
        <v>20000</v>
      </c>
      <c r="I381" t="str">
        <f t="shared" si="5"/>
        <v>Mar</v>
      </c>
    </row>
    <row r="382" spans="1:9" x14ac:dyDescent="0.35">
      <c r="A382" t="s">
        <v>136</v>
      </c>
      <c r="B382">
        <v>1381</v>
      </c>
      <c r="C382" t="s">
        <v>13</v>
      </c>
      <c r="D382" t="s">
        <v>14</v>
      </c>
      <c r="E382" t="s">
        <v>15</v>
      </c>
      <c r="F382">
        <v>2</v>
      </c>
      <c r="G382">
        <v>2000</v>
      </c>
      <c r="H382">
        <v>4000</v>
      </c>
      <c r="I382" t="str">
        <f t="shared" si="5"/>
        <v>May</v>
      </c>
    </row>
    <row r="383" spans="1:9" x14ac:dyDescent="0.35">
      <c r="A383" t="s">
        <v>134</v>
      </c>
      <c r="B383">
        <v>1382</v>
      </c>
      <c r="C383" t="s">
        <v>17</v>
      </c>
      <c r="D383" t="s">
        <v>10</v>
      </c>
      <c r="E383" t="s">
        <v>15</v>
      </c>
      <c r="F383">
        <v>3</v>
      </c>
      <c r="G383">
        <v>2000</v>
      </c>
      <c r="H383">
        <v>6000</v>
      </c>
      <c r="I383" t="str">
        <f t="shared" si="5"/>
        <v>Apr</v>
      </c>
    </row>
    <row r="384" spans="1:9" x14ac:dyDescent="0.35">
      <c r="A384" t="s">
        <v>141</v>
      </c>
      <c r="B384">
        <v>1383</v>
      </c>
      <c r="C384" t="s">
        <v>13</v>
      </c>
      <c r="D384" t="s">
        <v>34</v>
      </c>
      <c r="E384" t="s">
        <v>27</v>
      </c>
      <c r="F384">
        <v>2</v>
      </c>
      <c r="G384">
        <v>30000</v>
      </c>
      <c r="H384">
        <v>60000</v>
      </c>
      <c r="I384" t="str">
        <f t="shared" si="5"/>
        <v>Feb</v>
      </c>
    </row>
    <row r="385" spans="1:9" x14ac:dyDescent="0.35">
      <c r="A385" t="s">
        <v>64</v>
      </c>
      <c r="B385">
        <v>1384</v>
      </c>
      <c r="C385" t="s">
        <v>13</v>
      </c>
      <c r="D385" t="s">
        <v>18</v>
      </c>
      <c r="E385" t="s">
        <v>29</v>
      </c>
      <c r="F385">
        <v>2</v>
      </c>
      <c r="G385">
        <v>4000</v>
      </c>
      <c r="H385">
        <v>8000</v>
      </c>
      <c r="I385" t="str">
        <f t="shared" si="5"/>
        <v>Jan</v>
      </c>
    </row>
    <row r="386" spans="1:9" x14ac:dyDescent="0.35">
      <c r="A386" t="s">
        <v>186</v>
      </c>
      <c r="B386">
        <v>1385</v>
      </c>
      <c r="C386" t="s">
        <v>20</v>
      </c>
      <c r="D386" t="s">
        <v>18</v>
      </c>
      <c r="E386" t="s">
        <v>11</v>
      </c>
      <c r="F386">
        <v>5</v>
      </c>
      <c r="G386">
        <v>15000</v>
      </c>
      <c r="H386">
        <v>75000</v>
      </c>
      <c r="I386" t="str">
        <f t="shared" ref="I386:I449" si="6">TEXT(A386,"mmm")</f>
        <v>Jan</v>
      </c>
    </row>
    <row r="387" spans="1:9" x14ac:dyDescent="0.35">
      <c r="A387" t="s">
        <v>160</v>
      </c>
      <c r="B387">
        <v>1386</v>
      </c>
      <c r="C387" t="s">
        <v>9</v>
      </c>
      <c r="D387" t="s">
        <v>31</v>
      </c>
      <c r="E387" t="s">
        <v>27</v>
      </c>
      <c r="F387">
        <v>3</v>
      </c>
      <c r="G387">
        <v>30000</v>
      </c>
      <c r="H387">
        <v>90000</v>
      </c>
      <c r="I387" t="str">
        <f t="shared" si="6"/>
        <v>Jun</v>
      </c>
    </row>
    <row r="388" spans="1:9" x14ac:dyDescent="0.35">
      <c r="A388" t="s">
        <v>26</v>
      </c>
      <c r="B388">
        <v>1387</v>
      </c>
      <c r="C388" t="s">
        <v>9</v>
      </c>
      <c r="D388" t="s">
        <v>10</v>
      </c>
      <c r="E388" t="s">
        <v>11</v>
      </c>
      <c r="F388">
        <v>2</v>
      </c>
      <c r="G388">
        <v>15000</v>
      </c>
      <c r="H388">
        <v>30000</v>
      </c>
      <c r="I388" t="str">
        <f t="shared" si="6"/>
        <v>Apr</v>
      </c>
    </row>
    <row r="389" spans="1:9" x14ac:dyDescent="0.35">
      <c r="A389" t="s">
        <v>135</v>
      </c>
      <c r="B389">
        <v>1388</v>
      </c>
      <c r="C389" t="s">
        <v>17</v>
      </c>
      <c r="D389" t="s">
        <v>18</v>
      </c>
      <c r="E389" t="s">
        <v>24</v>
      </c>
      <c r="F389">
        <v>3</v>
      </c>
      <c r="G389">
        <v>20000</v>
      </c>
      <c r="H389">
        <v>60000</v>
      </c>
      <c r="I389" t="str">
        <f t="shared" si="6"/>
        <v>May</v>
      </c>
    </row>
    <row r="390" spans="1:9" x14ac:dyDescent="0.35">
      <c r="A390" t="s">
        <v>153</v>
      </c>
      <c r="B390">
        <v>1389</v>
      </c>
      <c r="C390" t="s">
        <v>9</v>
      </c>
      <c r="D390" t="s">
        <v>14</v>
      </c>
      <c r="E390" t="s">
        <v>11</v>
      </c>
      <c r="F390">
        <v>4</v>
      </c>
      <c r="G390">
        <v>15000</v>
      </c>
      <c r="H390">
        <v>60000</v>
      </c>
      <c r="I390" t="str">
        <f t="shared" si="6"/>
        <v>Apr</v>
      </c>
    </row>
    <row r="391" spans="1:9" x14ac:dyDescent="0.35">
      <c r="A391" t="s">
        <v>115</v>
      </c>
      <c r="B391">
        <v>1390</v>
      </c>
      <c r="C391" t="s">
        <v>9</v>
      </c>
      <c r="D391" t="s">
        <v>18</v>
      </c>
      <c r="E391" t="s">
        <v>15</v>
      </c>
      <c r="F391">
        <v>2</v>
      </c>
      <c r="G391">
        <v>2000</v>
      </c>
      <c r="H391">
        <v>4000</v>
      </c>
      <c r="I391" t="str">
        <f t="shared" si="6"/>
        <v>Jan</v>
      </c>
    </row>
    <row r="392" spans="1:9" x14ac:dyDescent="0.35">
      <c r="A392" t="s">
        <v>138</v>
      </c>
      <c r="B392">
        <v>1391</v>
      </c>
      <c r="C392" t="s">
        <v>20</v>
      </c>
      <c r="D392" t="s">
        <v>14</v>
      </c>
      <c r="E392" t="s">
        <v>44</v>
      </c>
      <c r="F392">
        <v>4</v>
      </c>
      <c r="G392">
        <v>50000</v>
      </c>
      <c r="H392">
        <v>200000</v>
      </c>
      <c r="I392" t="str">
        <f t="shared" si="6"/>
        <v>May</v>
      </c>
    </row>
    <row r="393" spans="1:9" x14ac:dyDescent="0.35">
      <c r="A393" t="s">
        <v>62</v>
      </c>
      <c r="B393">
        <v>1392</v>
      </c>
      <c r="C393" t="s">
        <v>17</v>
      </c>
      <c r="D393" t="s">
        <v>31</v>
      </c>
      <c r="E393" t="s">
        <v>11</v>
      </c>
      <c r="F393">
        <v>3</v>
      </c>
      <c r="G393">
        <v>15000</v>
      </c>
      <c r="H393">
        <v>45000</v>
      </c>
      <c r="I393" t="str">
        <f t="shared" si="6"/>
        <v>Apr</v>
      </c>
    </row>
    <row r="394" spans="1:9" x14ac:dyDescent="0.35">
      <c r="A394" t="s">
        <v>30</v>
      </c>
      <c r="B394">
        <v>1393</v>
      </c>
      <c r="C394" t="s">
        <v>13</v>
      </c>
      <c r="D394" t="s">
        <v>18</v>
      </c>
      <c r="E394" t="s">
        <v>44</v>
      </c>
      <c r="F394">
        <v>5</v>
      </c>
      <c r="G394">
        <v>50000</v>
      </c>
      <c r="H394">
        <v>250000</v>
      </c>
      <c r="I394" t="str">
        <f t="shared" si="6"/>
        <v>Mar</v>
      </c>
    </row>
    <row r="395" spans="1:9" x14ac:dyDescent="0.35">
      <c r="A395" t="s">
        <v>138</v>
      </c>
      <c r="B395">
        <v>1394</v>
      </c>
      <c r="C395" t="s">
        <v>13</v>
      </c>
      <c r="D395" t="s">
        <v>10</v>
      </c>
      <c r="E395" t="s">
        <v>15</v>
      </c>
      <c r="F395">
        <v>3</v>
      </c>
      <c r="G395">
        <v>2000</v>
      </c>
      <c r="H395">
        <v>6000</v>
      </c>
      <c r="I395" t="str">
        <f t="shared" si="6"/>
        <v>May</v>
      </c>
    </row>
    <row r="396" spans="1:9" x14ac:dyDescent="0.35">
      <c r="A396" t="s">
        <v>135</v>
      </c>
      <c r="B396">
        <v>1395</v>
      </c>
      <c r="C396" t="s">
        <v>17</v>
      </c>
      <c r="D396" t="s">
        <v>14</v>
      </c>
      <c r="E396" t="s">
        <v>29</v>
      </c>
      <c r="F396">
        <v>3</v>
      </c>
      <c r="G396">
        <v>4000</v>
      </c>
      <c r="H396">
        <v>12000</v>
      </c>
      <c r="I396" t="str">
        <f t="shared" si="6"/>
        <v>May</v>
      </c>
    </row>
    <row r="397" spans="1:9" x14ac:dyDescent="0.35">
      <c r="A397" t="s">
        <v>187</v>
      </c>
      <c r="B397">
        <v>1396</v>
      </c>
      <c r="C397" t="s">
        <v>13</v>
      </c>
      <c r="D397" t="s">
        <v>18</v>
      </c>
      <c r="E397" t="s">
        <v>27</v>
      </c>
      <c r="F397">
        <v>1</v>
      </c>
      <c r="G397">
        <v>30000</v>
      </c>
      <c r="H397">
        <v>30000</v>
      </c>
      <c r="I397" t="str">
        <f t="shared" si="6"/>
        <v>Jan</v>
      </c>
    </row>
    <row r="398" spans="1:9" x14ac:dyDescent="0.35">
      <c r="A398" t="s">
        <v>74</v>
      </c>
      <c r="B398">
        <v>1397</v>
      </c>
      <c r="C398" t="s">
        <v>9</v>
      </c>
      <c r="D398" t="s">
        <v>21</v>
      </c>
      <c r="E398" t="s">
        <v>44</v>
      </c>
      <c r="F398">
        <v>1</v>
      </c>
      <c r="G398">
        <v>50000</v>
      </c>
      <c r="H398">
        <v>50000</v>
      </c>
      <c r="I398" t="str">
        <f t="shared" si="6"/>
        <v>May</v>
      </c>
    </row>
    <row r="399" spans="1:9" x14ac:dyDescent="0.35">
      <c r="A399" t="s">
        <v>71</v>
      </c>
      <c r="B399">
        <v>1398</v>
      </c>
      <c r="C399" t="s">
        <v>17</v>
      </c>
      <c r="D399" t="s">
        <v>31</v>
      </c>
      <c r="E399" t="s">
        <v>29</v>
      </c>
      <c r="F399">
        <v>1</v>
      </c>
      <c r="G399">
        <v>4000</v>
      </c>
      <c r="H399">
        <v>4000</v>
      </c>
      <c r="I399" t="str">
        <f t="shared" si="6"/>
        <v>Mar</v>
      </c>
    </row>
    <row r="400" spans="1:9" x14ac:dyDescent="0.35">
      <c r="A400" t="s">
        <v>109</v>
      </c>
      <c r="B400">
        <v>1399</v>
      </c>
      <c r="C400" t="s">
        <v>20</v>
      </c>
      <c r="D400" t="s">
        <v>21</v>
      </c>
      <c r="E400" t="s">
        <v>11</v>
      </c>
      <c r="F400">
        <v>3</v>
      </c>
      <c r="G400">
        <v>15000</v>
      </c>
      <c r="H400">
        <v>45000</v>
      </c>
      <c r="I400" t="str">
        <f t="shared" si="6"/>
        <v>Jan</v>
      </c>
    </row>
    <row r="401" spans="1:9" x14ac:dyDescent="0.35">
      <c r="A401" t="s">
        <v>23</v>
      </c>
      <c r="B401">
        <v>1400</v>
      </c>
      <c r="C401" t="s">
        <v>13</v>
      </c>
      <c r="D401" t="s">
        <v>14</v>
      </c>
      <c r="E401" t="s">
        <v>24</v>
      </c>
      <c r="F401">
        <v>1</v>
      </c>
      <c r="G401">
        <v>20000</v>
      </c>
      <c r="H401">
        <v>20000</v>
      </c>
      <c r="I401" t="str">
        <f t="shared" si="6"/>
        <v>Mar</v>
      </c>
    </row>
    <row r="402" spans="1:9" x14ac:dyDescent="0.35">
      <c r="A402" t="s">
        <v>165</v>
      </c>
      <c r="B402">
        <v>1401</v>
      </c>
      <c r="C402" t="s">
        <v>13</v>
      </c>
      <c r="D402" t="s">
        <v>18</v>
      </c>
      <c r="E402" t="s">
        <v>44</v>
      </c>
      <c r="F402">
        <v>5</v>
      </c>
      <c r="G402">
        <v>50000</v>
      </c>
      <c r="H402">
        <v>250000</v>
      </c>
      <c r="I402" t="str">
        <f t="shared" si="6"/>
        <v>Apr</v>
      </c>
    </row>
    <row r="403" spans="1:9" x14ac:dyDescent="0.35">
      <c r="A403" t="s">
        <v>41</v>
      </c>
      <c r="B403">
        <v>1402</v>
      </c>
      <c r="C403" t="s">
        <v>13</v>
      </c>
      <c r="D403" t="s">
        <v>31</v>
      </c>
      <c r="E403" t="s">
        <v>29</v>
      </c>
      <c r="F403">
        <v>2</v>
      </c>
      <c r="G403">
        <v>4000</v>
      </c>
      <c r="H403">
        <v>8000</v>
      </c>
      <c r="I403" t="str">
        <f t="shared" si="6"/>
        <v>May</v>
      </c>
    </row>
    <row r="404" spans="1:9" x14ac:dyDescent="0.35">
      <c r="A404" t="s">
        <v>65</v>
      </c>
      <c r="B404">
        <v>1403</v>
      </c>
      <c r="C404" t="s">
        <v>17</v>
      </c>
      <c r="D404" t="s">
        <v>21</v>
      </c>
      <c r="E404" t="s">
        <v>44</v>
      </c>
      <c r="F404">
        <v>4</v>
      </c>
      <c r="G404">
        <v>50000</v>
      </c>
      <c r="H404">
        <v>200000</v>
      </c>
      <c r="I404" t="str">
        <f t="shared" si="6"/>
        <v>Feb</v>
      </c>
    </row>
    <row r="405" spans="1:9" x14ac:dyDescent="0.35">
      <c r="A405" t="s">
        <v>118</v>
      </c>
      <c r="B405">
        <v>1404</v>
      </c>
      <c r="C405" t="s">
        <v>9</v>
      </c>
      <c r="D405" t="s">
        <v>21</v>
      </c>
      <c r="E405" t="s">
        <v>11</v>
      </c>
      <c r="F405">
        <v>5</v>
      </c>
      <c r="G405">
        <v>15000</v>
      </c>
      <c r="H405">
        <v>75000</v>
      </c>
      <c r="I405" t="str">
        <f t="shared" si="6"/>
        <v>Jan</v>
      </c>
    </row>
    <row r="406" spans="1:9" x14ac:dyDescent="0.35">
      <c r="A406" t="s">
        <v>65</v>
      </c>
      <c r="B406">
        <v>1405</v>
      </c>
      <c r="C406" t="s">
        <v>20</v>
      </c>
      <c r="D406" t="s">
        <v>14</v>
      </c>
      <c r="E406" t="s">
        <v>11</v>
      </c>
      <c r="F406">
        <v>5</v>
      </c>
      <c r="G406">
        <v>15000</v>
      </c>
      <c r="H406">
        <v>75000</v>
      </c>
      <c r="I406" t="str">
        <f t="shared" si="6"/>
        <v>Feb</v>
      </c>
    </row>
    <row r="407" spans="1:9" x14ac:dyDescent="0.35">
      <c r="A407" t="s">
        <v>134</v>
      </c>
      <c r="B407">
        <v>1406</v>
      </c>
      <c r="C407" t="s">
        <v>17</v>
      </c>
      <c r="D407" t="s">
        <v>34</v>
      </c>
      <c r="E407" t="s">
        <v>11</v>
      </c>
      <c r="F407">
        <v>1</v>
      </c>
      <c r="G407">
        <v>15000</v>
      </c>
      <c r="H407">
        <v>15000</v>
      </c>
      <c r="I407" t="str">
        <f t="shared" si="6"/>
        <v>Apr</v>
      </c>
    </row>
    <row r="408" spans="1:9" x14ac:dyDescent="0.35">
      <c r="A408" t="s">
        <v>173</v>
      </c>
      <c r="B408">
        <v>1407</v>
      </c>
      <c r="C408" t="s">
        <v>17</v>
      </c>
      <c r="D408" t="s">
        <v>21</v>
      </c>
      <c r="E408" t="s">
        <v>27</v>
      </c>
      <c r="F408">
        <v>4</v>
      </c>
      <c r="G408">
        <v>30000</v>
      </c>
      <c r="H408">
        <v>120000</v>
      </c>
      <c r="I408" t="str">
        <f t="shared" si="6"/>
        <v>Jun</v>
      </c>
    </row>
    <row r="409" spans="1:9" x14ac:dyDescent="0.35">
      <c r="A409" t="s">
        <v>114</v>
      </c>
      <c r="B409">
        <v>1408</v>
      </c>
      <c r="C409" t="s">
        <v>20</v>
      </c>
      <c r="D409" t="s">
        <v>14</v>
      </c>
      <c r="E409" t="s">
        <v>29</v>
      </c>
      <c r="F409">
        <v>2</v>
      </c>
      <c r="G409">
        <v>4000</v>
      </c>
      <c r="H409">
        <v>8000</v>
      </c>
      <c r="I409" t="str">
        <f t="shared" si="6"/>
        <v>Feb</v>
      </c>
    </row>
    <row r="410" spans="1:9" x14ac:dyDescent="0.35">
      <c r="A410" t="s">
        <v>73</v>
      </c>
      <c r="B410">
        <v>1409</v>
      </c>
      <c r="C410" t="s">
        <v>13</v>
      </c>
      <c r="D410" t="s">
        <v>10</v>
      </c>
      <c r="E410" t="s">
        <v>15</v>
      </c>
      <c r="F410">
        <v>2</v>
      </c>
      <c r="G410">
        <v>2000</v>
      </c>
      <c r="H410">
        <v>4000</v>
      </c>
      <c r="I410" t="str">
        <f t="shared" si="6"/>
        <v>Feb</v>
      </c>
    </row>
    <row r="411" spans="1:9" x14ac:dyDescent="0.35">
      <c r="A411" t="s">
        <v>87</v>
      </c>
      <c r="B411">
        <v>1410</v>
      </c>
      <c r="C411" t="s">
        <v>9</v>
      </c>
      <c r="D411" t="s">
        <v>31</v>
      </c>
      <c r="E411" t="s">
        <v>29</v>
      </c>
      <c r="F411">
        <v>1</v>
      </c>
      <c r="G411">
        <v>4000</v>
      </c>
      <c r="H411">
        <v>4000</v>
      </c>
      <c r="I411" t="str">
        <f t="shared" si="6"/>
        <v>May</v>
      </c>
    </row>
    <row r="412" spans="1:9" x14ac:dyDescent="0.35">
      <c r="A412" t="s">
        <v>48</v>
      </c>
      <c r="B412">
        <v>1411</v>
      </c>
      <c r="C412" t="s">
        <v>17</v>
      </c>
      <c r="D412" t="s">
        <v>14</v>
      </c>
      <c r="E412" t="s">
        <v>24</v>
      </c>
      <c r="F412">
        <v>3</v>
      </c>
      <c r="G412">
        <v>20000</v>
      </c>
      <c r="H412">
        <v>60000</v>
      </c>
      <c r="I412" t="str">
        <f t="shared" si="6"/>
        <v>Jan</v>
      </c>
    </row>
    <row r="413" spans="1:9" x14ac:dyDescent="0.35">
      <c r="A413" t="s">
        <v>64</v>
      </c>
      <c r="B413">
        <v>1412</v>
      </c>
      <c r="C413" t="s">
        <v>20</v>
      </c>
      <c r="D413" t="s">
        <v>18</v>
      </c>
      <c r="E413" t="s">
        <v>15</v>
      </c>
      <c r="F413">
        <v>5</v>
      </c>
      <c r="G413">
        <v>2000</v>
      </c>
      <c r="H413">
        <v>10000</v>
      </c>
      <c r="I413" t="str">
        <f t="shared" si="6"/>
        <v>Jan</v>
      </c>
    </row>
    <row r="414" spans="1:9" x14ac:dyDescent="0.35">
      <c r="A414" t="s">
        <v>134</v>
      </c>
      <c r="B414">
        <v>1413</v>
      </c>
      <c r="C414" t="s">
        <v>20</v>
      </c>
      <c r="D414" t="s">
        <v>21</v>
      </c>
      <c r="E414" t="s">
        <v>27</v>
      </c>
      <c r="F414">
        <v>2</v>
      </c>
      <c r="G414">
        <v>30000</v>
      </c>
      <c r="H414">
        <v>60000</v>
      </c>
      <c r="I414" t="str">
        <f t="shared" si="6"/>
        <v>Apr</v>
      </c>
    </row>
    <row r="415" spans="1:9" x14ac:dyDescent="0.35">
      <c r="A415" t="s">
        <v>185</v>
      </c>
      <c r="B415">
        <v>1414</v>
      </c>
      <c r="C415" t="s">
        <v>20</v>
      </c>
      <c r="D415" t="s">
        <v>10</v>
      </c>
      <c r="E415" t="s">
        <v>44</v>
      </c>
      <c r="F415">
        <v>5</v>
      </c>
      <c r="G415">
        <v>50000</v>
      </c>
      <c r="H415">
        <v>250000</v>
      </c>
      <c r="I415" t="str">
        <f t="shared" si="6"/>
        <v>Feb</v>
      </c>
    </row>
    <row r="416" spans="1:9" x14ac:dyDescent="0.35">
      <c r="A416" t="s">
        <v>188</v>
      </c>
      <c r="B416">
        <v>1415</v>
      </c>
      <c r="C416" t="s">
        <v>17</v>
      </c>
      <c r="D416" t="s">
        <v>31</v>
      </c>
      <c r="E416" t="s">
        <v>44</v>
      </c>
      <c r="F416">
        <v>2</v>
      </c>
      <c r="G416">
        <v>50000</v>
      </c>
      <c r="H416">
        <v>100000</v>
      </c>
      <c r="I416" t="str">
        <f t="shared" si="6"/>
        <v>Jan</v>
      </c>
    </row>
    <row r="417" spans="1:9" x14ac:dyDescent="0.35">
      <c r="A417" t="s">
        <v>189</v>
      </c>
      <c r="B417">
        <v>1416</v>
      </c>
      <c r="C417" t="s">
        <v>17</v>
      </c>
      <c r="D417" t="s">
        <v>21</v>
      </c>
      <c r="E417" t="s">
        <v>24</v>
      </c>
      <c r="F417">
        <v>4</v>
      </c>
      <c r="G417">
        <v>20000</v>
      </c>
      <c r="H417">
        <v>80000</v>
      </c>
      <c r="I417" t="str">
        <f t="shared" si="6"/>
        <v>Jun</v>
      </c>
    </row>
    <row r="418" spans="1:9" x14ac:dyDescent="0.35">
      <c r="A418" t="s">
        <v>41</v>
      </c>
      <c r="B418">
        <v>1417</v>
      </c>
      <c r="C418" t="s">
        <v>13</v>
      </c>
      <c r="D418" t="s">
        <v>18</v>
      </c>
      <c r="E418" t="s">
        <v>15</v>
      </c>
      <c r="F418">
        <v>2</v>
      </c>
      <c r="G418">
        <v>2000</v>
      </c>
      <c r="H418">
        <v>4000</v>
      </c>
      <c r="I418" t="str">
        <f t="shared" si="6"/>
        <v>May</v>
      </c>
    </row>
    <row r="419" spans="1:9" x14ac:dyDescent="0.35">
      <c r="A419" t="s">
        <v>175</v>
      </c>
      <c r="B419">
        <v>1418</v>
      </c>
      <c r="C419" t="s">
        <v>17</v>
      </c>
      <c r="D419" t="s">
        <v>34</v>
      </c>
      <c r="E419" t="s">
        <v>11</v>
      </c>
      <c r="F419">
        <v>1</v>
      </c>
      <c r="G419">
        <v>15000</v>
      </c>
      <c r="H419">
        <v>15000</v>
      </c>
      <c r="I419" t="str">
        <f t="shared" si="6"/>
        <v>Jan</v>
      </c>
    </row>
    <row r="420" spans="1:9" x14ac:dyDescent="0.35">
      <c r="A420" t="s">
        <v>178</v>
      </c>
      <c r="B420">
        <v>1419</v>
      </c>
      <c r="C420" t="s">
        <v>9</v>
      </c>
      <c r="D420" t="s">
        <v>21</v>
      </c>
      <c r="E420" t="s">
        <v>11</v>
      </c>
      <c r="F420">
        <v>5</v>
      </c>
      <c r="G420">
        <v>15000</v>
      </c>
      <c r="H420">
        <v>75000</v>
      </c>
      <c r="I420" t="str">
        <f t="shared" si="6"/>
        <v>Jun</v>
      </c>
    </row>
    <row r="421" spans="1:9" x14ac:dyDescent="0.35">
      <c r="A421" t="s">
        <v>174</v>
      </c>
      <c r="B421">
        <v>1420</v>
      </c>
      <c r="C421" t="s">
        <v>17</v>
      </c>
      <c r="D421" t="s">
        <v>34</v>
      </c>
      <c r="E421" t="s">
        <v>27</v>
      </c>
      <c r="F421">
        <v>1</v>
      </c>
      <c r="G421">
        <v>30000</v>
      </c>
      <c r="H421">
        <v>30000</v>
      </c>
      <c r="I421" t="str">
        <f t="shared" si="6"/>
        <v>Mar</v>
      </c>
    </row>
    <row r="422" spans="1:9" x14ac:dyDescent="0.35">
      <c r="A422" t="s">
        <v>125</v>
      </c>
      <c r="B422">
        <v>1421</v>
      </c>
      <c r="C422" t="s">
        <v>9</v>
      </c>
      <c r="D422" t="s">
        <v>21</v>
      </c>
      <c r="E422" t="s">
        <v>27</v>
      </c>
      <c r="F422">
        <v>5</v>
      </c>
      <c r="G422">
        <v>30000</v>
      </c>
      <c r="H422">
        <v>150000</v>
      </c>
      <c r="I422" t="str">
        <f t="shared" si="6"/>
        <v>Jan</v>
      </c>
    </row>
    <row r="423" spans="1:9" x14ac:dyDescent="0.35">
      <c r="A423" t="s">
        <v>120</v>
      </c>
      <c r="B423">
        <v>1422</v>
      </c>
      <c r="C423" t="s">
        <v>9</v>
      </c>
      <c r="D423" t="s">
        <v>14</v>
      </c>
      <c r="E423" t="s">
        <v>11</v>
      </c>
      <c r="F423">
        <v>4</v>
      </c>
      <c r="G423">
        <v>15000</v>
      </c>
      <c r="H423">
        <v>60000</v>
      </c>
      <c r="I423" t="str">
        <f t="shared" si="6"/>
        <v>Mar</v>
      </c>
    </row>
    <row r="424" spans="1:9" x14ac:dyDescent="0.35">
      <c r="A424" t="s">
        <v>161</v>
      </c>
      <c r="B424">
        <v>1423</v>
      </c>
      <c r="C424" t="s">
        <v>17</v>
      </c>
      <c r="D424" t="s">
        <v>21</v>
      </c>
      <c r="E424" t="s">
        <v>11</v>
      </c>
      <c r="F424">
        <v>5</v>
      </c>
      <c r="G424">
        <v>15000</v>
      </c>
      <c r="H424">
        <v>75000</v>
      </c>
      <c r="I424" t="str">
        <f t="shared" si="6"/>
        <v>Mar</v>
      </c>
    </row>
    <row r="425" spans="1:9" x14ac:dyDescent="0.35">
      <c r="A425" t="s">
        <v>170</v>
      </c>
      <c r="B425">
        <v>1424</v>
      </c>
      <c r="C425" t="s">
        <v>20</v>
      </c>
      <c r="D425" t="s">
        <v>21</v>
      </c>
      <c r="E425" t="s">
        <v>44</v>
      </c>
      <c r="F425">
        <v>4</v>
      </c>
      <c r="G425">
        <v>50000</v>
      </c>
      <c r="H425">
        <v>200000</v>
      </c>
      <c r="I425" t="str">
        <f t="shared" si="6"/>
        <v>Apr</v>
      </c>
    </row>
    <row r="426" spans="1:9" x14ac:dyDescent="0.35">
      <c r="A426" t="s">
        <v>100</v>
      </c>
      <c r="B426">
        <v>1425</v>
      </c>
      <c r="C426" t="s">
        <v>20</v>
      </c>
      <c r="D426" t="s">
        <v>31</v>
      </c>
      <c r="E426" t="s">
        <v>44</v>
      </c>
      <c r="F426">
        <v>5</v>
      </c>
      <c r="G426">
        <v>50000</v>
      </c>
      <c r="H426">
        <v>250000</v>
      </c>
      <c r="I426" t="str">
        <f t="shared" si="6"/>
        <v>May</v>
      </c>
    </row>
    <row r="427" spans="1:9" x14ac:dyDescent="0.35">
      <c r="A427" t="s">
        <v>99</v>
      </c>
      <c r="B427">
        <v>1426</v>
      </c>
      <c r="C427" t="s">
        <v>20</v>
      </c>
      <c r="D427" t="s">
        <v>10</v>
      </c>
      <c r="E427" t="s">
        <v>11</v>
      </c>
      <c r="F427">
        <v>2</v>
      </c>
      <c r="G427">
        <v>15000</v>
      </c>
      <c r="H427">
        <v>30000</v>
      </c>
      <c r="I427" t="str">
        <f t="shared" si="6"/>
        <v>May</v>
      </c>
    </row>
    <row r="428" spans="1:9" x14ac:dyDescent="0.35">
      <c r="A428" t="s">
        <v>190</v>
      </c>
      <c r="B428">
        <v>1427</v>
      </c>
      <c r="C428" t="s">
        <v>13</v>
      </c>
      <c r="D428" t="s">
        <v>10</v>
      </c>
      <c r="E428" t="s">
        <v>44</v>
      </c>
      <c r="F428">
        <v>1</v>
      </c>
      <c r="G428">
        <v>50000</v>
      </c>
      <c r="H428">
        <v>50000</v>
      </c>
      <c r="I428" t="str">
        <f t="shared" si="6"/>
        <v>Jun</v>
      </c>
    </row>
    <row r="429" spans="1:9" x14ac:dyDescent="0.35">
      <c r="A429" t="s">
        <v>84</v>
      </c>
      <c r="B429">
        <v>1428</v>
      </c>
      <c r="C429" t="s">
        <v>9</v>
      </c>
      <c r="D429" t="s">
        <v>18</v>
      </c>
      <c r="E429" t="s">
        <v>44</v>
      </c>
      <c r="F429">
        <v>4</v>
      </c>
      <c r="G429">
        <v>50000</v>
      </c>
      <c r="H429">
        <v>200000</v>
      </c>
      <c r="I429" t="str">
        <f t="shared" si="6"/>
        <v>Mar</v>
      </c>
    </row>
    <row r="430" spans="1:9" x14ac:dyDescent="0.35">
      <c r="A430" t="s">
        <v>182</v>
      </c>
      <c r="B430">
        <v>1429</v>
      </c>
      <c r="C430" t="s">
        <v>13</v>
      </c>
      <c r="D430" t="s">
        <v>31</v>
      </c>
      <c r="E430" t="s">
        <v>44</v>
      </c>
      <c r="F430">
        <v>3</v>
      </c>
      <c r="G430">
        <v>50000</v>
      </c>
      <c r="H430">
        <v>150000</v>
      </c>
      <c r="I430" t="str">
        <f t="shared" si="6"/>
        <v>Feb</v>
      </c>
    </row>
    <row r="431" spans="1:9" x14ac:dyDescent="0.35">
      <c r="A431" t="s">
        <v>112</v>
      </c>
      <c r="B431">
        <v>1430</v>
      </c>
      <c r="C431" t="s">
        <v>9</v>
      </c>
      <c r="D431" t="s">
        <v>21</v>
      </c>
      <c r="E431" t="s">
        <v>24</v>
      </c>
      <c r="F431">
        <v>5</v>
      </c>
      <c r="G431">
        <v>20000</v>
      </c>
      <c r="H431">
        <v>100000</v>
      </c>
      <c r="I431" t="str">
        <f t="shared" si="6"/>
        <v>Feb</v>
      </c>
    </row>
    <row r="432" spans="1:9" x14ac:dyDescent="0.35">
      <c r="A432" t="s">
        <v>179</v>
      </c>
      <c r="B432">
        <v>1431</v>
      </c>
      <c r="C432" t="s">
        <v>17</v>
      </c>
      <c r="D432" t="s">
        <v>31</v>
      </c>
      <c r="E432" t="s">
        <v>24</v>
      </c>
      <c r="F432">
        <v>5</v>
      </c>
      <c r="G432">
        <v>20000</v>
      </c>
      <c r="H432">
        <v>100000</v>
      </c>
      <c r="I432" t="str">
        <f t="shared" si="6"/>
        <v>Jun</v>
      </c>
    </row>
    <row r="433" spans="1:9" x14ac:dyDescent="0.35">
      <c r="A433" t="s">
        <v>67</v>
      </c>
      <c r="B433">
        <v>1432</v>
      </c>
      <c r="C433" t="s">
        <v>9</v>
      </c>
      <c r="D433" t="s">
        <v>31</v>
      </c>
      <c r="E433" t="s">
        <v>44</v>
      </c>
      <c r="F433">
        <v>2</v>
      </c>
      <c r="G433">
        <v>50000</v>
      </c>
      <c r="H433">
        <v>100000</v>
      </c>
      <c r="I433" t="str">
        <f t="shared" si="6"/>
        <v>May</v>
      </c>
    </row>
    <row r="434" spans="1:9" x14ac:dyDescent="0.35">
      <c r="A434" t="s">
        <v>181</v>
      </c>
      <c r="B434">
        <v>1433</v>
      </c>
      <c r="C434" t="s">
        <v>17</v>
      </c>
      <c r="D434" t="s">
        <v>21</v>
      </c>
      <c r="E434" t="s">
        <v>44</v>
      </c>
      <c r="F434">
        <v>1</v>
      </c>
      <c r="G434">
        <v>50000</v>
      </c>
      <c r="H434">
        <v>50000</v>
      </c>
      <c r="I434" t="str">
        <f t="shared" si="6"/>
        <v>Apr</v>
      </c>
    </row>
    <row r="435" spans="1:9" x14ac:dyDescent="0.35">
      <c r="A435" t="s">
        <v>136</v>
      </c>
      <c r="B435">
        <v>1434</v>
      </c>
      <c r="C435" t="s">
        <v>17</v>
      </c>
      <c r="D435" t="s">
        <v>18</v>
      </c>
      <c r="E435" t="s">
        <v>44</v>
      </c>
      <c r="F435">
        <v>1</v>
      </c>
      <c r="G435">
        <v>50000</v>
      </c>
      <c r="H435">
        <v>50000</v>
      </c>
      <c r="I435" t="str">
        <f t="shared" si="6"/>
        <v>May</v>
      </c>
    </row>
    <row r="436" spans="1:9" x14ac:dyDescent="0.35">
      <c r="A436" t="s">
        <v>145</v>
      </c>
      <c r="B436">
        <v>1435</v>
      </c>
      <c r="C436" t="s">
        <v>13</v>
      </c>
      <c r="D436" t="s">
        <v>21</v>
      </c>
      <c r="E436" t="s">
        <v>29</v>
      </c>
      <c r="F436">
        <v>4</v>
      </c>
      <c r="G436">
        <v>4000</v>
      </c>
      <c r="H436">
        <v>16000</v>
      </c>
      <c r="I436" t="str">
        <f t="shared" si="6"/>
        <v>May</v>
      </c>
    </row>
    <row r="437" spans="1:9" x14ac:dyDescent="0.35">
      <c r="A437" t="s">
        <v>165</v>
      </c>
      <c r="B437">
        <v>1436</v>
      </c>
      <c r="C437" t="s">
        <v>13</v>
      </c>
      <c r="D437" t="s">
        <v>31</v>
      </c>
      <c r="E437" t="s">
        <v>29</v>
      </c>
      <c r="F437">
        <v>2</v>
      </c>
      <c r="G437">
        <v>4000</v>
      </c>
      <c r="H437">
        <v>8000</v>
      </c>
      <c r="I437" t="str">
        <f t="shared" si="6"/>
        <v>Apr</v>
      </c>
    </row>
    <row r="438" spans="1:9" x14ac:dyDescent="0.35">
      <c r="A438" t="s">
        <v>140</v>
      </c>
      <c r="B438">
        <v>1437</v>
      </c>
      <c r="C438" t="s">
        <v>17</v>
      </c>
      <c r="D438" t="s">
        <v>18</v>
      </c>
      <c r="E438" t="s">
        <v>11</v>
      </c>
      <c r="F438">
        <v>4</v>
      </c>
      <c r="G438">
        <v>15000</v>
      </c>
      <c r="H438">
        <v>60000</v>
      </c>
      <c r="I438" t="str">
        <f t="shared" si="6"/>
        <v>May</v>
      </c>
    </row>
    <row r="439" spans="1:9" x14ac:dyDescent="0.35">
      <c r="A439" t="s">
        <v>93</v>
      </c>
      <c r="B439">
        <v>1438</v>
      </c>
      <c r="C439" t="s">
        <v>13</v>
      </c>
      <c r="D439" t="s">
        <v>14</v>
      </c>
      <c r="E439" t="s">
        <v>15</v>
      </c>
      <c r="F439">
        <v>4</v>
      </c>
      <c r="G439">
        <v>2000</v>
      </c>
      <c r="H439">
        <v>8000</v>
      </c>
      <c r="I439" t="str">
        <f t="shared" si="6"/>
        <v>May</v>
      </c>
    </row>
    <row r="440" spans="1:9" x14ac:dyDescent="0.35">
      <c r="A440" t="s">
        <v>124</v>
      </c>
      <c r="B440">
        <v>1439</v>
      </c>
      <c r="C440" t="s">
        <v>9</v>
      </c>
      <c r="D440" t="s">
        <v>10</v>
      </c>
      <c r="E440" t="s">
        <v>29</v>
      </c>
      <c r="F440">
        <v>2</v>
      </c>
      <c r="G440">
        <v>4000</v>
      </c>
      <c r="H440">
        <v>8000</v>
      </c>
      <c r="I440" t="str">
        <f t="shared" si="6"/>
        <v>Mar</v>
      </c>
    </row>
    <row r="441" spans="1:9" x14ac:dyDescent="0.35">
      <c r="A441" t="s">
        <v>187</v>
      </c>
      <c r="B441">
        <v>1440</v>
      </c>
      <c r="C441" t="s">
        <v>20</v>
      </c>
      <c r="D441" t="s">
        <v>34</v>
      </c>
      <c r="E441" t="s">
        <v>44</v>
      </c>
      <c r="F441">
        <v>5</v>
      </c>
      <c r="G441">
        <v>50000</v>
      </c>
      <c r="H441">
        <v>250000</v>
      </c>
      <c r="I441" t="str">
        <f t="shared" si="6"/>
        <v>Jan</v>
      </c>
    </row>
    <row r="442" spans="1:9" x14ac:dyDescent="0.35">
      <c r="A442" t="s">
        <v>19</v>
      </c>
      <c r="B442">
        <v>1441</v>
      </c>
      <c r="C442" t="s">
        <v>13</v>
      </c>
      <c r="D442" t="s">
        <v>21</v>
      </c>
      <c r="E442" t="s">
        <v>29</v>
      </c>
      <c r="F442">
        <v>2</v>
      </c>
      <c r="G442">
        <v>4000</v>
      </c>
      <c r="H442">
        <v>8000</v>
      </c>
      <c r="I442" t="str">
        <f t="shared" si="6"/>
        <v>Jan</v>
      </c>
    </row>
    <row r="443" spans="1:9" x14ac:dyDescent="0.35">
      <c r="A443" t="s">
        <v>22</v>
      </c>
      <c r="B443">
        <v>1442</v>
      </c>
      <c r="C443" t="s">
        <v>20</v>
      </c>
      <c r="D443" t="s">
        <v>10</v>
      </c>
      <c r="E443" t="s">
        <v>27</v>
      </c>
      <c r="F443">
        <v>2</v>
      </c>
      <c r="G443">
        <v>30000</v>
      </c>
      <c r="H443">
        <v>60000</v>
      </c>
      <c r="I443" t="str">
        <f t="shared" si="6"/>
        <v>Feb</v>
      </c>
    </row>
    <row r="444" spans="1:9" x14ac:dyDescent="0.35">
      <c r="A444" t="s">
        <v>56</v>
      </c>
      <c r="B444">
        <v>1443</v>
      </c>
      <c r="C444" t="s">
        <v>20</v>
      </c>
      <c r="D444" t="s">
        <v>21</v>
      </c>
      <c r="E444" t="s">
        <v>24</v>
      </c>
      <c r="F444">
        <v>1</v>
      </c>
      <c r="G444">
        <v>20000</v>
      </c>
      <c r="H444">
        <v>20000</v>
      </c>
      <c r="I444" t="str">
        <f t="shared" si="6"/>
        <v>Feb</v>
      </c>
    </row>
    <row r="445" spans="1:9" x14ac:dyDescent="0.35">
      <c r="A445" t="s">
        <v>23</v>
      </c>
      <c r="B445">
        <v>1444</v>
      </c>
      <c r="C445" t="s">
        <v>17</v>
      </c>
      <c r="D445" t="s">
        <v>10</v>
      </c>
      <c r="E445" t="s">
        <v>15</v>
      </c>
      <c r="F445">
        <v>4</v>
      </c>
      <c r="G445">
        <v>2000</v>
      </c>
      <c r="H445">
        <v>8000</v>
      </c>
      <c r="I445" t="str">
        <f t="shared" si="6"/>
        <v>Mar</v>
      </c>
    </row>
    <row r="446" spans="1:9" x14ac:dyDescent="0.35">
      <c r="A446" t="s">
        <v>71</v>
      </c>
      <c r="B446">
        <v>1445</v>
      </c>
      <c r="C446" t="s">
        <v>13</v>
      </c>
      <c r="D446" t="s">
        <v>18</v>
      </c>
      <c r="E446" t="s">
        <v>24</v>
      </c>
      <c r="F446">
        <v>5</v>
      </c>
      <c r="G446">
        <v>20000</v>
      </c>
      <c r="H446">
        <v>100000</v>
      </c>
      <c r="I446" t="str">
        <f t="shared" si="6"/>
        <v>Mar</v>
      </c>
    </row>
    <row r="447" spans="1:9" x14ac:dyDescent="0.35">
      <c r="A447" t="s">
        <v>185</v>
      </c>
      <c r="B447">
        <v>1446</v>
      </c>
      <c r="C447" t="s">
        <v>9</v>
      </c>
      <c r="D447" t="s">
        <v>18</v>
      </c>
      <c r="E447" t="s">
        <v>27</v>
      </c>
      <c r="F447">
        <v>3</v>
      </c>
      <c r="G447">
        <v>30000</v>
      </c>
      <c r="H447">
        <v>90000</v>
      </c>
      <c r="I447" t="str">
        <f t="shared" si="6"/>
        <v>Feb</v>
      </c>
    </row>
    <row r="448" spans="1:9" x14ac:dyDescent="0.35">
      <c r="A448" t="s">
        <v>56</v>
      </c>
      <c r="B448">
        <v>1447</v>
      </c>
      <c r="C448" t="s">
        <v>20</v>
      </c>
      <c r="D448" t="s">
        <v>21</v>
      </c>
      <c r="E448" t="s">
        <v>11</v>
      </c>
      <c r="F448">
        <v>3</v>
      </c>
      <c r="G448">
        <v>15000</v>
      </c>
      <c r="H448">
        <v>45000</v>
      </c>
      <c r="I448" t="str">
        <f t="shared" si="6"/>
        <v>Feb</v>
      </c>
    </row>
    <row r="449" spans="1:9" x14ac:dyDescent="0.35">
      <c r="A449" t="s">
        <v>159</v>
      </c>
      <c r="B449">
        <v>1448</v>
      </c>
      <c r="C449" t="s">
        <v>9</v>
      </c>
      <c r="D449" t="s">
        <v>34</v>
      </c>
      <c r="E449" t="s">
        <v>27</v>
      </c>
      <c r="F449">
        <v>1</v>
      </c>
      <c r="G449">
        <v>30000</v>
      </c>
      <c r="H449">
        <v>30000</v>
      </c>
      <c r="I449" t="str">
        <f t="shared" si="6"/>
        <v>Jan</v>
      </c>
    </row>
    <row r="450" spans="1:9" x14ac:dyDescent="0.35">
      <c r="A450" t="s">
        <v>191</v>
      </c>
      <c r="B450">
        <v>1449</v>
      </c>
      <c r="C450" t="s">
        <v>20</v>
      </c>
      <c r="D450" t="s">
        <v>10</v>
      </c>
      <c r="E450" t="s">
        <v>27</v>
      </c>
      <c r="F450">
        <v>4</v>
      </c>
      <c r="G450">
        <v>30000</v>
      </c>
      <c r="H450">
        <v>120000</v>
      </c>
      <c r="I450" t="str">
        <f t="shared" ref="I450:I501" si="7">TEXT(A450,"mmm")</f>
        <v>Jan</v>
      </c>
    </row>
    <row r="451" spans="1:9" x14ac:dyDescent="0.35">
      <c r="A451" t="s">
        <v>108</v>
      </c>
      <c r="B451">
        <v>1450</v>
      </c>
      <c r="C451" t="s">
        <v>13</v>
      </c>
      <c r="D451" t="s">
        <v>10</v>
      </c>
      <c r="E451" t="s">
        <v>15</v>
      </c>
      <c r="F451">
        <v>2</v>
      </c>
      <c r="G451">
        <v>2000</v>
      </c>
      <c r="H451">
        <v>4000</v>
      </c>
      <c r="I451" t="str">
        <f t="shared" si="7"/>
        <v>Mar</v>
      </c>
    </row>
    <row r="452" spans="1:9" x14ac:dyDescent="0.35">
      <c r="A452" t="s">
        <v>35</v>
      </c>
      <c r="B452">
        <v>1451</v>
      </c>
      <c r="C452" t="s">
        <v>20</v>
      </c>
      <c r="D452" t="s">
        <v>10</v>
      </c>
      <c r="E452" t="s">
        <v>44</v>
      </c>
      <c r="F452">
        <v>2</v>
      </c>
      <c r="G452">
        <v>50000</v>
      </c>
      <c r="H452">
        <v>100000</v>
      </c>
      <c r="I452" t="str">
        <f t="shared" si="7"/>
        <v>May</v>
      </c>
    </row>
    <row r="453" spans="1:9" x14ac:dyDescent="0.35">
      <c r="A453" t="s">
        <v>115</v>
      </c>
      <c r="B453">
        <v>1452</v>
      </c>
      <c r="C453" t="s">
        <v>9</v>
      </c>
      <c r="D453" t="s">
        <v>18</v>
      </c>
      <c r="E453" t="s">
        <v>11</v>
      </c>
      <c r="F453">
        <v>3</v>
      </c>
      <c r="G453">
        <v>15000</v>
      </c>
      <c r="H453">
        <v>45000</v>
      </c>
      <c r="I453" t="str">
        <f t="shared" si="7"/>
        <v>Jan</v>
      </c>
    </row>
    <row r="454" spans="1:9" x14ac:dyDescent="0.35">
      <c r="A454" t="s">
        <v>174</v>
      </c>
      <c r="B454">
        <v>1453</v>
      </c>
      <c r="C454" t="s">
        <v>20</v>
      </c>
      <c r="D454" t="s">
        <v>21</v>
      </c>
      <c r="E454" t="s">
        <v>44</v>
      </c>
      <c r="F454">
        <v>5</v>
      </c>
      <c r="G454">
        <v>50000</v>
      </c>
      <c r="H454">
        <v>250000</v>
      </c>
      <c r="I454" t="str">
        <f t="shared" si="7"/>
        <v>Mar</v>
      </c>
    </row>
    <row r="455" spans="1:9" x14ac:dyDescent="0.35">
      <c r="A455" t="s">
        <v>190</v>
      </c>
      <c r="B455">
        <v>1454</v>
      </c>
      <c r="C455" t="s">
        <v>9</v>
      </c>
      <c r="D455" t="s">
        <v>21</v>
      </c>
      <c r="E455" t="s">
        <v>27</v>
      </c>
      <c r="F455">
        <v>3</v>
      </c>
      <c r="G455">
        <v>30000</v>
      </c>
      <c r="H455">
        <v>90000</v>
      </c>
      <c r="I455" t="str">
        <f t="shared" si="7"/>
        <v>Jun</v>
      </c>
    </row>
    <row r="456" spans="1:9" x14ac:dyDescent="0.35">
      <c r="A456" t="s">
        <v>41</v>
      </c>
      <c r="B456">
        <v>1455</v>
      </c>
      <c r="C456" t="s">
        <v>13</v>
      </c>
      <c r="D456" t="s">
        <v>10</v>
      </c>
      <c r="E456" t="s">
        <v>29</v>
      </c>
      <c r="F456">
        <v>3</v>
      </c>
      <c r="G456">
        <v>4000</v>
      </c>
      <c r="H456">
        <v>12000</v>
      </c>
      <c r="I456" t="str">
        <f t="shared" si="7"/>
        <v>May</v>
      </c>
    </row>
    <row r="457" spans="1:9" x14ac:dyDescent="0.35">
      <c r="A457" t="s">
        <v>90</v>
      </c>
      <c r="B457">
        <v>1456</v>
      </c>
      <c r="C457" t="s">
        <v>9</v>
      </c>
      <c r="D457" t="s">
        <v>31</v>
      </c>
      <c r="E457" t="s">
        <v>24</v>
      </c>
      <c r="F457">
        <v>4</v>
      </c>
      <c r="G457">
        <v>20000</v>
      </c>
      <c r="H457">
        <v>80000</v>
      </c>
      <c r="I457" t="str">
        <f t="shared" si="7"/>
        <v>Feb</v>
      </c>
    </row>
    <row r="458" spans="1:9" x14ac:dyDescent="0.35">
      <c r="A458" t="s">
        <v>152</v>
      </c>
      <c r="B458">
        <v>1457</v>
      </c>
      <c r="C458" t="s">
        <v>9</v>
      </c>
      <c r="D458" t="s">
        <v>18</v>
      </c>
      <c r="E458" t="s">
        <v>29</v>
      </c>
      <c r="F458">
        <v>1</v>
      </c>
      <c r="G458">
        <v>4000</v>
      </c>
      <c r="H458">
        <v>4000</v>
      </c>
      <c r="I458" t="str">
        <f t="shared" si="7"/>
        <v>Apr</v>
      </c>
    </row>
    <row r="459" spans="1:9" x14ac:dyDescent="0.35">
      <c r="A459" t="s">
        <v>185</v>
      </c>
      <c r="B459">
        <v>1458</v>
      </c>
      <c r="C459" t="s">
        <v>9</v>
      </c>
      <c r="D459" t="s">
        <v>34</v>
      </c>
      <c r="E459" t="s">
        <v>29</v>
      </c>
      <c r="F459">
        <v>3</v>
      </c>
      <c r="G459">
        <v>4000</v>
      </c>
      <c r="H459">
        <v>12000</v>
      </c>
      <c r="I459" t="str">
        <f t="shared" si="7"/>
        <v>Feb</v>
      </c>
    </row>
    <row r="460" spans="1:9" x14ac:dyDescent="0.35">
      <c r="A460" t="s">
        <v>163</v>
      </c>
      <c r="B460">
        <v>1459</v>
      </c>
      <c r="C460" t="s">
        <v>13</v>
      </c>
      <c r="D460" t="s">
        <v>18</v>
      </c>
      <c r="E460" t="s">
        <v>44</v>
      </c>
      <c r="F460">
        <v>1</v>
      </c>
      <c r="G460">
        <v>50000</v>
      </c>
      <c r="H460">
        <v>50000</v>
      </c>
      <c r="I460" t="str">
        <f t="shared" si="7"/>
        <v>Feb</v>
      </c>
    </row>
    <row r="461" spans="1:9" x14ac:dyDescent="0.35">
      <c r="A461" t="s">
        <v>103</v>
      </c>
      <c r="B461">
        <v>1460</v>
      </c>
      <c r="C461" t="s">
        <v>17</v>
      </c>
      <c r="D461" t="s">
        <v>18</v>
      </c>
      <c r="E461" t="s">
        <v>24</v>
      </c>
      <c r="F461">
        <v>1</v>
      </c>
      <c r="G461">
        <v>20000</v>
      </c>
      <c r="H461">
        <v>20000</v>
      </c>
      <c r="I461" t="str">
        <f t="shared" si="7"/>
        <v>Mar</v>
      </c>
    </row>
    <row r="462" spans="1:9" x14ac:dyDescent="0.35">
      <c r="A462" t="s">
        <v>192</v>
      </c>
      <c r="B462">
        <v>1461</v>
      </c>
      <c r="C462" t="s">
        <v>9</v>
      </c>
      <c r="D462" t="s">
        <v>31</v>
      </c>
      <c r="E462" t="s">
        <v>44</v>
      </c>
      <c r="F462">
        <v>3</v>
      </c>
      <c r="G462">
        <v>50000</v>
      </c>
      <c r="H462">
        <v>150000</v>
      </c>
      <c r="I462" t="str">
        <f t="shared" si="7"/>
        <v>Jun</v>
      </c>
    </row>
    <row r="463" spans="1:9" x14ac:dyDescent="0.35">
      <c r="A463" t="s">
        <v>129</v>
      </c>
      <c r="B463">
        <v>1462</v>
      </c>
      <c r="C463" t="s">
        <v>20</v>
      </c>
      <c r="D463" t="s">
        <v>10</v>
      </c>
      <c r="E463" t="s">
        <v>27</v>
      </c>
      <c r="F463">
        <v>1</v>
      </c>
      <c r="G463">
        <v>30000</v>
      </c>
      <c r="H463">
        <v>30000</v>
      </c>
      <c r="I463" t="str">
        <f t="shared" si="7"/>
        <v>Mar</v>
      </c>
    </row>
    <row r="464" spans="1:9" x14ac:dyDescent="0.35">
      <c r="A464" t="s">
        <v>105</v>
      </c>
      <c r="B464">
        <v>1463</v>
      </c>
      <c r="C464" t="s">
        <v>17</v>
      </c>
      <c r="D464" t="s">
        <v>34</v>
      </c>
      <c r="E464" t="s">
        <v>11</v>
      </c>
      <c r="F464">
        <v>4</v>
      </c>
      <c r="G464">
        <v>15000</v>
      </c>
      <c r="H464">
        <v>60000</v>
      </c>
      <c r="I464" t="str">
        <f t="shared" si="7"/>
        <v>Apr</v>
      </c>
    </row>
    <row r="465" spans="1:9" x14ac:dyDescent="0.35">
      <c r="A465" t="s">
        <v>193</v>
      </c>
      <c r="B465">
        <v>1464</v>
      </c>
      <c r="C465" t="s">
        <v>17</v>
      </c>
      <c r="D465" t="s">
        <v>31</v>
      </c>
      <c r="E465" t="s">
        <v>27</v>
      </c>
      <c r="F465">
        <v>4</v>
      </c>
      <c r="G465">
        <v>30000</v>
      </c>
      <c r="H465">
        <v>120000</v>
      </c>
      <c r="I465" t="str">
        <f t="shared" si="7"/>
        <v>Jun</v>
      </c>
    </row>
    <row r="466" spans="1:9" x14ac:dyDescent="0.35">
      <c r="A466" t="s">
        <v>49</v>
      </c>
      <c r="B466">
        <v>1465</v>
      </c>
      <c r="C466" t="s">
        <v>17</v>
      </c>
      <c r="D466" t="s">
        <v>14</v>
      </c>
      <c r="E466" t="s">
        <v>29</v>
      </c>
      <c r="F466">
        <v>4</v>
      </c>
      <c r="G466">
        <v>4000</v>
      </c>
      <c r="H466">
        <v>16000</v>
      </c>
      <c r="I466" t="str">
        <f t="shared" si="7"/>
        <v>Mar</v>
      </c>
    </row>
    <row r="467" spans="1:9" x14ac:dyDescent="0.35">
      <c r="A467" t="s">
        <v>62</v>
      </c>
      <c r="B467">
        <v>1466</v>
      </c>
      <c r="C467" t="s">
        <v>17</v>
      </c>
      <c r="D467" t="s">
        <v>18</v>
      </c>
      <c r="E467" t="s">
        <v>24</v>
      </c>
      <c r="F467">
        <v>3</v>
      </c>
      <c r="G467">
        <v>20000</v>
      </c>
      <c r="H467">
        <v>60000</v>
      </c>
      <c r="I467" t="str">
        <f t="shared" si="7"/>
        <v>Apr</v>
      </c>
    </row>
    <row r="468" spans="1:9" x14ac:dyDescent="0.35">
      <c r="A468" t="s">
        <v>141</v>
      </c>
      <c r="B468">
        <v>1467</v>
      </c>
      <c r="C468" t="s">
        <v>13</v>
      </c>
      <c r="D468" t="s">
        <v>14</v>
      </c>
      <c r="E468" t="s">
        <v>15</v>
      </c>
      <c r="F468">
        <v>2</v>
      </c>
      <c r="G468">
        <v>2000</v>
      </c>
      <c r="H468">
        <v>4000</v>
      </c>
      <c r="I468" t="str">
        <f t="shared" si="7"/>
        <v>Feb</v>
      </c>
    </row>
    <row r="469" spans="1:9" x14ac:dyDescent="0.35">
      <c r="A469" t="s">
        <v>36</v>
      </c>
      <c r="B469">
        <v>1468</v>
      </c>
      <c r="C469" t="s">
        <v>20</v>
      </c>
      <c r="D469" t="s">
        <v>31</v>
      </c>
      <c r="E469" t="s">
        <v>29</v>
      </c>
      <c r="F469">
        <v>5</v>
      </c>
      <c r="G469">
        <v>4000</v>
      </c>
      <c r="H469">
        <v>20000</v>
      </c>
      <c r="I469" t="str">
        <f t="shared" si="7"/>
        <v>Feb</v>
      </c>
    </row>
    <row r="470" spans="1:9" x14ac:dyDescent="0.35">
      <c r="A470" t="s">
        <v>123</v>
      </c>
      <c r="B470">
        <v>1469</v>
      </c>
      <c r="C470" t="s">
        <v>20</v>
      </c>
      <c r="D470" t="s">
        <v>31</v>
      </c>
      <c r="E470" t="s">
        <v>15</v>
      </c>
      <c r="F470">
        <v>5</v>
      </c>
      <c r="G470">
        <v>2000</v>
      </c>
      <c r="H470">
        <v>10000</v>
      </c>
      <c r="I470" t="str">
        <f t="shared" si="7"/>
        <v>Jun</v>
      </c>
    </row>
    <row r="471" spans="1:9" x14ac:dyDescent="0.35">
      <c r="A471" t="s">
        <v>141</v>
      </c>
      <c r="B471">
        <v>1470</v>
      </c>
      <c r="C471" t="s">
        <v>20</v>
      </c>
      <c r="D471" t="s">
        <v>31</v>
      </c>
      <c r="E471" t="s">
        <v>27</v>
      </c>
      <c r="F471">
        <v>1</v>
      </c>
      <c r="G471">
        <v>30000</v>
      </c>
      <c r="H471">
        <v>30000</v>
      </c>
      <c r="I471" t="str">
        <f t="shared" si="7"/>
        <v>Feb</v>
      </c>
    </row>
    <row r="472" spans="1:9" x14ac:dyDescent="0.35">
      <c r="A472" t="s">
        <v>130</v>
      </c>
      <c r="B472">
        <v>1471</v>
      </c>
      <c r="C472" t="s">
        <v>17</v>
      </c>
      <c r="D472" t="s">
        <v>14</v>
      </c>
      <c r="E472" t="s">
        <v>24</v>
      </c>
      <c r="F472">
        <v>2</v>
      </c>
      <c r="G472">
        <v>20000</v>
      </c>
      <c r="H472">
        <v>40000</v>
      </c>
      <c r="I472" t="str">
        <f t="shared" si="7"/>
        <v>Jun</v>
      </c>
    </row>
    <row r="473" spans="1:9" x14ac:dyDescent="0.35">
      <c r="A473" t="s">
        <v>109</v>
      </c>
      <c r="B473">
        <v>1472</v>
      </c>
      <c r="C473" t="s">
        <v>17</v>
      </c>
      <c r="D473" t="s">
        <v>34</v>
      </c>
      <c r="E473" t="s">
        <v>44</v>
      </c>
      <c r="F473">
        <v>2</v>
      </c>
      <c r="G473">
        <v>50000</v>
      </c>
      <c r="H473">
        <v>100000</v>
      </c>
      <c r="I473" t="str">
        <f t="shared" si="7"/>
        <v>Jan</v>
      </c>
    </row>
    <row r="474" spans="1:9" x14ac:dyDescent="0.35">
      <c r="A474" t="s">
        <v>126</v>
      </c>
      <c r="B474">
        <v>1473</v>
      </c>
      <c r="C474" t="s">
        <v>20</v>
      </c>
      <c r="D474" t="s">
        <v>31</v>
      </c>
      <c r="E474" t="s">
        <v>29</v>
      </c>
      <c r="F474">
        <v>1</v>
      </c>
      <c r="G474">
        <v>4000</v>
      </c>
      <c r="H474">
        <v>4000</v>
      </c>
      <c r="I474" t="str">
        <f t="shared" si="7"/>
        <v>Jan</v>
      </c>
    </row>
    <row r="475" spans="1:9" x14ac:dyDescent="0.35">
      <c r="A475" t="s">
        <v>114</v>
      </c>
      <c r="B475">
        <v>1474</v>
      </c>
      <c r="C475" t="s">
        <v>17</v>
      </c>
      <c r="D475" t="s">
        <v>34</v>
      </c>
      <c r="E475" t="s">
        <v>27</v>
      </c>
      <c r="F475">
        <v>5</v>
      </c>
      <c r="G475">
        <v>30000</v>
      </c>
      <c r="H475">
        <v>150000</v>
      </c>
      <c r="I475" t="str">
        <f t="shared" si="7"/>
        <v>Feb</v>
      </c>
    </row>
    <row r="476" spans="1:9" x14ac:dyDescent="0.35">
      <c r="A476" t="s">
        <v>145</v>
      </c>
      <c r="B476">
        <v>1475</v>
      </c>
      <c r="C476" t="s">
        <v>9</v>
      </c>
      <c r="D476" t="s">
        <v>18</v>
      </c>
      <c r="E476" t="s">
        <v>15</v>
      </c>
      <c r="F476">
        <v>2</v>
      </c>
      <c r="G476">
        <v>2000</v>
      </c>
      <c r="H476">
        <v>4000</v>
      </c>
      <c r="I476" t="str">
        <f t="shared" si="7"/>
        <v>May</v>
      </c>
    </row>
    <row r="477" spans="1:9" x14ac:dyDescent="0.35">
      <c r="A477" t="s">
        <v>98</v>
      </c>
      <c r="B477">
        <v>1476</v>
      </c>
      <c r="C477" t="s">
        <v>13</v>
      </c>
      <c r="D477" t="s">
        <v>31</v>
      </c>
      <c r="E477" t="s">
        <v>24</v>
      </c>
      <c r="F477">
        <v>5</v>
      </c>
      <c r="G477">
        <v>20000</v>
      </c>
      <c r="H477">
        <v>100000</v>
      </c>
      <c r="I477" t="str">
        <f t="shared" si="7"/>
        <v>May</v>
      </c>
    </row>
    <row r="478" spans="1:9" x14ac:dyDescent="0.35">
      <c r="A478" t="s">
        <v>77</v>
      </c>
      <c r="B478">
        <v>1477</v>
      </c>
      <c r="C478" t="s">
        <v>9</v>
      </c>
      <c r="D478" t="s">
        <v>34</v>
      </c>
      <c r="E478" t="s">
        <v>11</v>
      </c>
      <c r="F478">
        <v>5</v>
      </c>
      <c r="G478">
        <v>15000</v>
      </c>
      <c r="H478">
        <v>75000</v>
      </c>
      <c r="I478" t="str">
        <f t="shared" si="7"/>
        <v>Mar</v>
      </c>
    </row>
    <row r="479" spans="1:9" x14ac:dyDescent="0.35">
      <c r="A479" t="s">
        <v>42</v>
      </c>
      <c r="B479">
        <v>1478</v>
      </c>
      <c r="C479" t="s">
        <v>20</v>
      </c>
      <c r="D479" t="s">
        <v>21</v>
      </c>
      <c r="E479" t="s">
        <v>11</v>
      </c>
      <c r="F479">
        <v>2</v>
      </c>
      <c r="G479">
        <v>15000</v>
      </c>
      <c r="H479">
        <v>30000</v>
      </c>
      <c r="I479" t="str">
        <f t="shared" si="7"/>
        <v>Jan</v>
      </c>
    </row>
    <row r="480" spans="1:9" x14ac:dyDescent="0.35">
      <c r="A480" t="s">
        <v>113</v>
      </c>
      <c r="B480">
        <v>1479</v>
      </c>
      <c r="C480" t="s">
        <v>17</v>
      </c>
      <c r="D480" t="s">
        <v>34</v>
      </c>
      <c r="E480" t="s">
        <v>15</v>
      </c>
      <c r="F480">
        <v>3</v>
      </c>
      <c r="G480">
        <v>2000</v>
      </c>
      <c r="H480">
        <v>6000</v>
      </c>
      <c r="I480" t="str">
        <f t="shared" si="7"/>
        <v>Jun</v>
      </c>
    </row>
    <row r="481" spans="1:9" x14ac:dyDescent="0.35">
      <c r="A481" t="s">
        <v>149</v>
      </c>
      <c r="B481">
        <v>1480</v>
      </c>
      <c r="C481" t="s">
        <v>9</v>
      </c>
      <c r="D481" t="s">
        <v>31</v>
      </c>
      <c r="E481" t="s">
        <v>15</v>
      </c>
      <c r="F481">
        <v>2</v>
      </c>
      <c r="G481">
        <v>2000</v>
      </c>
      <c r="H481">
        <v>4000</v>
      </c>
      <c r="I481" t="str">
        <f t="shared" si="7"/>
        <v>Feb</v>
      </c>
    </row>
    <row r="482" spans="1:9" x14ac:dyDescent="0.35">
      <c r="A482" t="s">
        <v>110</v>
      </c>
      <c r="B482">
        <v>1481</v>
      </c>
      <c r="C482" t="s">
        <v>20</v>
      </c>
      <c r="D482" t="s">
        <v>18</v>
      </c>
      <c r="E482" t="s">
        <v>15</v>
      </c>
      <c r="F482">
        <v>1</v>
      </c>
      <c r="G482">
        <v>2000</v>
      </c>
      <c r="H482">
        <v>2000</v>
      </c>
      <c r="I482" t="str">
        <f t="shared" si="7"/>
        <v>Jan</v>
      </c>
    </row>
    <row r="483" spans="1:9" x14ac:dyDescent="0.35">
      <c r="A483" t="s">
        <v>149</v>
      </c>
      <c r="B483">
        <v>1482</v>
      </c>
      <c r="C483" t="s">
        <v>9</v>
      </c>
      <c r="D483" t="s">
        <v>14</v>
      </c>
      <c r="E483" t="s">
        <v>24</v>
      </c>
      <c r="F483">
        <v>5</v>
      </c>
      <c r="G483">
        <v>20000</v>
      </c>
      <c r="H483">
        <v>100000</v>
      </c>
      <c r="I483" t="str">
        <f t="shared" si="7"/>
        <v>Feb</v>
      </c>
    </row>
    <row r="484" spans="1:9" x14ac:dyDescent="0.35">
      <c r="A484" t="s">
        <v>101</v>
      </c>
      <c r="B484">
        <v>1483</v>
      </c>
      <c r="C484" t="s">
        <v>9</v>
      </c>
      <c r="D484" t="s">
        <v>18</v>
      </c>
      <c r="E484" t="s">
        <v>24</v>
      </c>
      <c r="F484">
        <v>1</v>
      </c>
      <c r="G484">
        <v>20000</v>
      </c>
      <c r="H484">
        <v>20000</v>
      </c>
      <c r="I484" t="str">
        <f t="shared" si="7"/>
        <v>May</v>
      </c>
    </row>
    <row r="485" spans="1:9" x14ac:dyDescent="0.35">
      <c r="A485" t="s">
        <v>131</v>
      </c>
      <c r="B485">
        <v>1484</v>
      </c>
      <c r="C485" t="s">
        <v>17</v>
      </c>
      <c r="D485" t="s">
        <v>31</v>
      </c>
      <c r="E485" t="s">
        <v>27</v>
      </c>
      <c r="F485">
        <v>3</v>
      </c>
      <c r="G485">
        <v>30000</v>
      </c>
      <c r="H485">
        <v>90000</v>
      </c>
      <c r="I485" t="str">
        <f t="shared" si="7"/>
        <v>Apr</v>
      </c>
    </row>
    <row r="486" spans="1:9" x14ac:dyDescent="0.35">
      <c r="A486" t="s">
        <v>12</v>
      </c>
      <c r="B486">
        <v>1485</v>
      </c>
      <c r="C486" t="s">
        <v>17</v>
      </c>
      <c r="D486" t="s">
        <v>14</v>
      </c>
      <c r="E486" t="s">
        <v>24</v>
      </c>
      <c r="F486">
        <v>5</v>
      </c>
      <c r="G486">
        <v>20000</v>
      </c>
      <c r="H486">
        <v>100000</v>
      </c>
      <c r="I486" t="str">
        <f t="shared" si="7"/>
        <v>Feb</v>
      </c>
    </row>
    <row r="487" spans="1:9" x14ac:dyDescent="0.35">
      <c r="A487" t="s">
        <v>61</v>
      </c>
      <c r="B487">
        <v>1486</v>
      </c>
      <c r="C487" t="s">
        <v>17</v>
      </c>
      <c r="D487" t="s">
        <v>10</v>
      </c>
      <c r="E487" t="s">
        <v>44</v>
      </c>
      <c r="F487">
        <v>3</v>
      </c>
      <c r="G487">
        <v>50000</v>
      </c>
      <c r="H487">
        <v>150000</v>
      </c>
      <c r="I487" t="str">
        <f t="shared" si="7"/>
        <v>Apr</v>
      </c>
    </row>
    <row r="488" spans="1:9" x14ac:dyDescent="0.35">
      <c r="A488" t="s">
        <v>93</v>
      </c>
      <c r="B488">
        <v>1487</v>
      </c>
      <c r="C488" t="s">
        <v>13</v>
      </c>
      <c r="D488" t="s">
        <v>10</v>
      </c>
      <c r="E488" t="s">
        <v>24</v>
      </c>
      <c r="F488">
        <v>1</v>
      </c>
      <c r="G488">
        <v>20000</v>
      </c>
      <c r="H488">
        <v>20000</v>
      </c>
      <c r="I488" t="str">
        <f t="shared" si="7"/>
        <v>May</v>
      </c>
    </row>
    <row r="489" spans="1:9" x14ac:dyDescent="0.35">
      <c r="A489" t="s">
        <v>54</v>
      </c>
      <c r="B489">
        <v>1488</v>
      </c>
      <c r="C489" t="s">
        <v>13</v>
      </c>
      <c r="D489" t="s">
        <v>34</v>
      </c>
      <c r="E489" t="s">
        <v>11</v>
      </c>
      <c r="F489">
        <v>4</v>
      </c>
      <c r="G489">
        <v>15000</v>
      </c>
      <c r="H489">
        <v>60000</v>
      </c>
      <c r="I489" t="str">
        <f t="shared" si="7"/>
        <v>Mar</v>
      </c>
    </row>
    <row r="490" spans="1:9" x14ac:dyDescent="0.35">
      <c r="A490" t="s">
        <v>162</v>
      </c>
      <c r="B490">
        <v>1489</v>
      </c>
      <c r="C490" t="s">
        <v>17</v>
      </c>
      <c r="D490" t="s">
        <v>21</v>
      </c>
      <c r="E490" t="s">
        <v>27</v>
      </c>
      <c r="F490">
        <v>4</v>
      </c>
      <c r="G490">
        <v>30000</v>
      </c>
      <c r="H490">
        <v>120000</v>
      </c>
      <c r="I490" t="str">
        <f t="shared" si="7"/>
        <v>Jun</v>
      </c>
    </row>
    <row r="491" spans="1:9" x14ac:dyDescent="0.35">
      <c r="A491" t="s">
        <v>194</v>
      </c>
      <c r="B491">
        <v>1490</v>
      </c>
      <c r="C491" t="s">
        <v>17</v>
      </c>
      <c r="D491" t="s">
        <v>21</v>
      </c>
      <c r="E491" t="s">
        <v>24</v>
      </c>
      <c r="F491">
        <v>3</v>
      </c>
      <c r="G491">
        <v>20000</v>
      </c>
      <c r="H491">
        <v>60000</v>
      </c>
      <c r="I491" t="str">
        <f t="shared" si="7"/>
        <v>Apr</v>
      </c>
    </row>
    <row r="492" spans="1:9" x14ac:dyDescent="0.35">
      <c r="A492" t="s">
        <v>136</v>
      </c>
      <c r="B492">
        <v>1491</v>
      </c>
      <c r="C492" t="s">
        <v>17</v>
      </c>
      <c r="D492" t="s">
        <v>31</v>
      </c>
      <c r="E492" t="s">
        <v>24</v>
      </c>
      <c r="F492">
        <v>1</v>
      </c>
      <c r="G492">
        <v>20000</v>
      </c>
      <c r="H492">
        <v>20000</v>
      </c>
      <c r="I492" t="str">
        <f t="shared" si="7"/>
        <v>May</v>
      </c>
    </row>
    <row r="493" spans="1:9" x14ac:dyDescent="0.35">
      <c r="A493" t="s">
        <v>76</v>
      </c>
      <c r="B493">
        <v>1492</v>
      </c>
      <c r="C493" t="s">
        <v>17</v>
      </c>
      <c r="D493" t="s">
        <v>21</v>
      </c>
      <c r="E493" t="s">
        <v>29</v>
      </c>
      <c r="F493">
        <v>1</v>
      </c>
      <c r="G493">
        <v>4000</v>
      </c>
      <c r="H493">
        <v>4000</v>
      </c>
      <c r="I493" t="str">
        <f t="shared" si="7"/>
        <v>Jun</v>
      </c>
    </row>
    <row r="494" spans="1:9" x14ac:dyDescent="0.35">
      <c r="A494" t="s">
        <v>98</v>
      </c>
      <c r="B494">
        <v>1493</v>
      </c>
      <c r="C494" t="s">
        <v>17</v>
      </c>
      <c r="D494" t="s">
        <v>34</v>
      </c>
      <c r="E494" t="s">
        <v>11</v>
      </c>
      <c r="F494">
        <v>1</v>
      </c>
      <c r="G494">
        <v>15000</v>
      </c>
      <c r="H494">
        <v>15000</v>
      </c>
      <c r="I494" t="str">
        <f t="shared" si="7"/>
        <v>May</v>
      </c>
    </row>
    <row r="495" spans="1:9" x14ac:dyDescent="0.35">
      <c r="A495" t="s">
        <v>190</v>
      </c>
      <c r="B495">
        <v>1494</v>
      </c>
      <c r="C495" t="s">
        <v>17</v>
      </c>
      <c r="D495" t="s">
        <v>14</v>
      </c>
      <c r="E495" t="s">
        <v>29</v>
      </c>
      <c r="F495">
        <v>3</v>
      </c>
      <c r="G495">
        <v>4000</v>
      </c>
      <c r="H495">
        <v>12000</v>
      </c>
      <c r="I495" t="str">
        <f t="shared" si="7"/>
        <v>Jun</v>
      </c>
    </row>
    <row r="496" spans="1:9" x14ac:dyDescent="0.35">
      <c r="A496" t="s">
        <v>69</v>
      </c>
      <c r="B496">
        <v>1495</v>
      </c>
      <c r="C496" t="s">
        <v>9</v>
      </c>
      <c r="D496" t="s">
        <v>31</v>
      </c>
      <c r="E496" t="s">
        <v>11</v>
      </c>
      <c r="F496">
        <v>5</v>
      </c>
      <c r="G496">
        <v>15000</v>
      </c>
      <c r="H496">
        <v>75000</v>
      </c>
      <c r="I496" t="str">
        <f t="shared" si="7"/>
        <v>Apr</v>
      </c>
    </row>
    <row r="497" spans="1:9" x14ac:dyDescent="0.35">
      <c r="A497" t="s">
        <v>170</v>
      </c>
      <c r="B497">
        <v>1496</v>
      </c>
      <c r="C497" t="s">
        <v>20</v>
      </c>
      <c r="D497" t="s">
        <v>18</v>
      </c>
      <c r="E497" t="s">
        <v>15</v>
      </c>
      <c r="F497">
        <v>5</v>
      </c>
      <c r="G497">
        <v>2000</v>
      </c>
      <c r="H497">
        <v>10000</v>
      </c>
      <c r="I497" t="str">
        <f t="shared" si="7"/>
        <v>Apr</v>
      </c>
    </row>
    <row r="498" spans="1:9" x14ac:dyDescent="0.35">
      <c r="A498" t="s">
        <v>131</v>
      </c>
      <c r="B498">
        <v>1497</v>
      </c>
      <c r="C498" t="s">
        <v>13</v>
      </c>
      <c r="D498" t="s">
        <v>31</v>
      </c>
      <c r="E498" t="s">
        <v>29</v>
      </c>
      <c r="F498">
        <v>3</v>
      </c>
      <c r="G498">
        <v>4000</v>
      </c>
      <c r="H498">
        <v>12000</v>
      </c>
      <c r="I498" t="str">
        <f t="shared" si="7"/>
        <v>Apr</v>
      </c>
    </row>
    <row r="499" spans="1:9" x14ac:dyDescent="0.35">
      <c r="A499" t="s">
        <v>119</v>
      </c>
      <c r="B499">
        <v>1498</v>
      </c>
      <c r="C499" t="s">
        <v>13</v>
      </c>
      <c r="D499" t="s">
        <v>31</v>
      </c>
      <c r="E499" t="s">
        <v>11</v>
      </c>
      <c r="F499">
        <v>1</v>
      </c>
      <c r="G499">
        <v>15000</v>
      </c>
      <c r="H499">
        <v>15000</v>
      </c>
      <c r="I499" t="str">
        <f t="shared" si="7"/>
        <v>Jan</v>
      </c>
    </row>
    <row r="500" spans="1:9" x14ac:dyDescent="0.35">
      <c r="A500" t="s">
        <v>174</v>
      </c>
      <c r="B500">
        <v>1499</v>
      </c>
      <c r="C500" t="s">
        <v>9</v>
      </c>
      <c r="D500" t="s">
        <v>21</v>
      </c>
      <c r="E500" t="s">
        <v>27</v>
      </c>
      <c r="F500">
        <v>5</v>
      </c>
      <c r="G500">
        <v>30000</v>
      </c>
      <c r="H500">
        <v>150000</v>
      </c>
      <c r="I500" t="str">
        <f t="shared" si="7"/>
        <v>Mar</v>
      </c>
    </row>
    <row r="501" spans="1:9" x14ac:dyDescent="0.35">
      <c r="A501" t="s">
        <v>19</v>
      </c>
      <c r="B501">
        <v>1500</v>
      </c>
      <c r="C501" t="s">
        <v>13</v>
      </c>
      <c r="D501" t="s">
        <v>21</v>
      </c>
      <c r="E501" t="s">
        <v>44</v>
      </c>
      <c r="F501">
        <v>5</v>
      </c>
      <c r="G501">
        <v>50000</v>
      </c>
      <c r="H501">
        <v>250000</v>
      </c>
      <c r="I501" t="str">
        <f t="shared" si="7"/>
        <v>Jan</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EDD72-1ABC-44B4-9051-C434DEDEAF60}">
  <dimension ref="A1:B6"/>
  <sheetViews>
    <sheetView zoomScale="130" zoomScaleNormal="130" workbookViewId="0">
      <selection activeCell="N21" sqref="N21"/>
    </sheetView>
  </sheetViews>
  <sheetFormatPr defaultRowHeight="14.5" x14ac:dyDescent="0.35"/>
  <cols>
    <col min="1" max="1" width="12.36328125" bestFit="1" customWidth="1"/>
    <col min="2" max="2" width="14.81640625" bestFit="1" customWidth="1"/>
  </cols>
  <sheetData>
    <row r="1" spans="1:2" x14ac:dyDescent="0.35">
      <c r="A1" s="1" t="s">
        <v>197</v>
      </c>
      <c r="B1" t="s">
        <v>196</v>
      </c>
    </row>
    <row r="2" spans="1:2" x14ac:dyDescent="0.35">
      <c r="A2" s="2" t="s">
        <v>13</v>
      </c>
      <c r="B2" s="13">
        <v>7538000</v>
      </c>
    </row>
    <row r="3" spans="1:2" x14ac:dyDescent="0.35">
      <c r="A3" s="2" t="s">
        <v>20</v>
      </c>
      <c r="B3" s="13">
        <v>6788000</v>
      </c>
    </row>
    <row r="4" spans="1:2" x14ac:dyDescent="0.35">
      <c r="A4" s="2" t="s">
        <v>17</v>
      </c>
      <c r="B4" s="13">
        <v>8144000</v>
      </c>
    </row>
    <row r="5" spans="1:2" x14ac:dyDescent="0.35">
      <c r="A5" s="2" t="s">
        <v>9</v>
      </c>
      <c r="B5" s="13">
        <v>6657000</v>
      </c>
    </row>
    <row r="6" spans="1:2" x14ac:dyDescent="0.35">
      <c r="A6" s="2" t="s">
        <v>198</v>
      </c>
      <c r="B6" s="13">
        <v>29127000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034CA-0327-4861-BA14-CFCEF568EC11}">
  <dimension ref="A1:B8"/>
  <sheetViews>
    <sheetView zoomScale="130" zoomScaleNormal="130" workbookViewId="0">
      <selection activeCell="H29" sqref="H29"/>
    </sheetView>
  </sheetViews>
  <sheetFormatPr defaultRowHeight="14.5" x14ac:dyDescent="0.35"/>
  <cols>
    <col min="1" max="1" width="12.36328125" bestFit="1" customWidth="1"/>
    <col min="2" max="2" width="14.81640625" bestFit="1" customWidth="1"/>
  </cols>
  <sheetData>
    <row r="1" spans="1:2" x14ac:dyDescent="0.35">
      <c r="A1" s="1" t="s">
        <v>197</v>
      </c>
      <c r="B1" t="s">
        <v>196</v>
      </c>
    </row>
    <row r="2" spans="1:2" x14ac:dyDescent="0.35">
      <c r="A2" s="2" t="s">
        <v>44</v>
      </c>
      <c r="B2" s="13">
        <v>12600000</v>
      </c>
    </row>
    <row r="3" spans="1:2" x14ac:dyDescent="0.35">
      <c r="A3" s="2" t="s">
        <v>27</v>
      </c>
      <c r="B3" s="13">
        <v>6600000</v>
      </c>
    </row>
    <row r="4" spans="1:2" x14ac:dyDescent="0.35">
      <c r="A4" s="2" t="s">
        <v>24</v>
      </c>
      <c r="B4" s="13">
        <v>4340000</v>
      </c>
    </row>
    <row r="5" spans="1:2" x14ac:dyDescent="0.35">
      <c r="A5" s="2" t="s">
        <v>11</v>
      </c>
      <c r="B5" s="13">
        <v>4125000</v>
      </c>
    </row>
    <row r="6" spans="1:2" x14ac:dyDescent="0.35">
      <c r="A6" s="2" t="s">
        <v>29</v>
      </c>
      <c r="B6" s="13">
        <v>924000</v>
      </c>
    </row>
    <row r="7" spans="1:2" x14ac:dyDescent="0.35">
      <c r="A7" s="2" t="s">
        <v>15</v>
      </c>
      <c r="B7" s="13">
        <v>538000</v>
      </c>
    </row>
    <row r="8" spans="1:2" x14ac:dyDescent="0.35">
      <c r="A8" s="2" t="s">
        <v>198</v>
      </c>
      <c r="B8" s="13">
        <v>29127000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F68BC-913D-44B0-91E3-EB6F03C9B6D0}">
  <dimension ref="A1:B8"/>
  <sheetViews>
    <sheetView zoomScale="130" zoomScaleNormal="130" workbookViewId="0">
      <selection activeCell="B1" sqref="B1:B1048576"/>
    </sheetView>
  </sheetViews>
  <sheetFormatPr defaultRowHeight="14.5" x14ac:dyDescent="0.35"/>
  <cols>
    <col min="1" max="1" width="12.36328125" bestFit="1" customWidth="1"/>
    <col min="2" max="2" width="14.81640625" bestFit="1" customWidth="1"/>
  </cols>
  <sheetData>
    <row r="1" spans="1:2" x14ac:dyDescent="0.35">
      <c r="A1" s="1" t="s">
        <v>197</v>
      </c>
      <c r="B1" t="s">
        <v>196</v>
      </c>
    </row>
    <row r="2" spans="1:2" x14ac:dyDescent="0.35">
      <c r="A2" s="2" t="s">
        <v>199</v>
      </c>
      <c r="B2" s="13">
        <v>4682000</v>
      </c>
    </row>
    <row r="3" spans="1:2" x14ac:dyDescent="0.35">
      <c r="A3" s="2" t="s">
        <v>200</v>
      </c>
      <c r="B3" s="13">
        <v>5798000</v>
      </c>
    </row>
    <row r="4" spans="1:2" x14ac:dyDescent="0.35">
      <c r="A4" s="2" t="s">
        <v>201</v>
      </c>
      <c r="B4" s="13">
        <v>5488000</v>
      </c>
    </row>
    <row r="5" spans="1:2" x14ac:dyDescent="0.35">
      <c r="A5" s="2" t="s">
        <v>202</v>
      </c>
      <c r="B5" s="13">
        <v>4916000</v>
      </c>
    </row>
    <row r="6" spans="1:2" x14ac:dyDescent="0.35">
      <c r="A6" s="2" t="s">
        <v>203</v>
      </c>
      <c r="B6" s="13">
        <v>4766000</v>
      </c>
    </row>
    <row r="7" spans="1:2" x14ac:dyDescent="0.35">
      <c r="A7" s="2" t="s">
        <v>204</v>
      </c>
      <c r="B7" s="13">
        <v>3477000</v>
      </c>
    </row>
    <row r="8" spans="1:2" x14ac:dyDescent="0.35">
      <c r="A8" s="2" t="s">
        <v>198</v>
      </c>
      <c r="B8" s="13">
        <v>29127000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FAE9F-5524-4284-ABA9-8FC644E5E832}">
  <dimension ref="A1:B8"/>
  <sheetViews>
    <sheetView zoomScale="175" zoomScaleNormal="175" workbookViewId="0">
      <selection activeCell="D12" sqref="D12"/>
    </sheetView>
  </sheetViews>
  <sheetFormatPr defaultRowHeight="14.5" x14ac:dyDescent="0.35"/>
  <cols>
    <col min="1" max="1" width="12.36328125" bestFit="1" customWidth="1"/>
    <col min="2" max="2" width="15.6328125" style="19" bestFit="1" customWidth="1"/>
  </cols>
  <sheetData>
    <row r="1" spans="1:2" x14ac:dyDescent="0.35">
      <c r="A1" s="1" t="s">
        <v>197</v>
      </c>
      <c r="B1" s="19" t="s">
        <v>196</v>
      </c>
    </row>
    <row r="2" spans="1:2" x14ac:dyDescent="0.35">
      <c r="A2" s="2" t="s">
        <v>14</v>
      </c>
      <c r="B2" s="19">
        <v>4048000</v>
      </c>
    </row>
    <row r="3" spans="1:2" x14ac:dyDescent="0.35">
      <c r="A3" s="2" t="s">
        <v>34</v>
      </c>
      <c r="B3" s="19">
        <v>3994000</v>
      </c>
    </row>
    <row r="4" spans="1:2" x14ac:dyDescent="0.35">
      <c r="A4" s="2" t="s">
        <v>18</v>
      </c>
      <c r="B4" s="19">
        <v>4207000</v>
      </c>
    </row>
    <row r="5" spans="1:2" x14ac:dyDescent="0.35">
      <c r="A5" s="2" t="s">
        <v>10</v>
      </c>
      <c r="B5" s="19">
        <v>4457000</v>
      </c>
    </row>
    <row r="6" spans="1:2" x14ac:dyDescent="0.35">
      <c r="A6" s="2" t="s">
        <v>31</v>
      </c>
      <c r="B6" s="19">
        <v>5584000</v>
      </c>
    </row>
    <row r="7" spans="1:2" x14ac:dyDescent="0.35">
      <c r="A7" s="2" t="s">
        <v>21</v>
      </c>
      <c r="B7" s="19">
        <v>6837000</v>
      </c>
    </row>
    <row r="8" spans="1:2" x14ac:dyDescent="0.35">
      <c r="A8" s="2" t="s">
        <v>198</v>
      </c>
      <c r="B8" s="19">
        <v>29127000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F13D4-0984-4BC4-8B50-6D23B6D37A88}">
  <dimension ref="A1:O39"/>
  <sheetViews>
    <sheetView showGridLines="0" tabSelected="1" zoomScale="80" zoomScaleNormal="80" workbookViewId="0">
      <selection activeCell="S16" sqref="S16"/>
    </sheetView>
  </sheetViews>
  <sheetFormatPr defaultRowHeight="14.5" x14ac:dyDescent="0.35"/>
  <cols>
    <col min="1" max="1" width="27.81640625" bestFit="1" customWidth="1"/>
    <col min="2" max="2" width="12.1796875" bestFit="1" customWidth="1"/>
    <col min="3" max="3" width="16.36328125" bestFit="1" customWidth="1"/>
    <col min="4" max="4" width="12.1796875" bestFit="1" customWidth="1"/>
    <col min="5" max="5" width="18.08984375" bestFit="1" customWidth="1"/>
    <col min="7" max="7" width="26.7265625" bestFit="1" customWidth="1"/>
    <col min="8" max="8" width="8.7265625" customWidth="1"/>
    <col min="9" max="9" width="9.1796875" bestFit="1" customWidth="1"/>
    <col min="14" max="15" width="8.7265625" style="9"/>
  </cols>
  <sheetData>
    <row r="1" spans="1:15" s="3" customFormat="1" ht="41" customHeight="1" x14ac:dyDescent="0.75">
      <c r="A1" s="14" t="s">
        <v>205</v>
      </c>
      <c r="B1" s="14"/>
      <c r="C1" s="14"/>
      <c r="D1" s="14"/>
      <c r="E1" s="14"/>
      <c r="F1" s="14"/>
      <c r="G1" s="14"/>
      <c r="H1" s="14"/>
      <c r="I1" s="14"/>
      <c r="J1" s="14"/>
      <c r="K1" s="14"/>
      <c r="L1" s="14"/>
      <c r="M1" s="14"/>
      <c r="N1" s="11"/>
      <c r="O1" s="10"/>
    </row>
    <row r="2" spans="1:15" ht="103.5" customHeight="1" x14ac:dyDescent="0.6">
      <c r="A2" s="4"/>
      <c r="B2" s="5"/>
      <c r="C2" s="5"/>
      <c r="D2" s="5"/>
      <c r="E2" s="5"/>
      <c r="F2" s="5"/>
      <c r="G2" s="5"/>
      <c r="H2" s="5"/>
      <c r="I2" s="6"/>
      <c r="J2" s="6"/>
      <c r="K2" s="6"/>
      <c r="L2" s="6"/>
      <c r="M2" s="6"/>
    </row>
    <row r="3" spans="1:15" ht="21" x14ac:dyDescent="0.5">
      <c r="A3" s="15" t="s">
        <v>206</v>
      </c>
      <c r="B3" s="7"/>
      <c r="C3" s="15" t="s">
        <v>207</v>
      </c>
      <c r="D3" s="7"/>
      <c r="E3" s="15" t="s">
        <v>208</v>
      </c>
      <c r="F3" s="6"/>
      <c r="G3" s="15" t="s">
        <v>209</v>
      </c>
      <c r="H3" s="6"/>
      <c r="I3" s="6"/>
      <c r="J3" s="6"/>
      <c r="K3" s="6"/>
      <c r="L3" s="6"/>
      <c r="M3" s="6"/>
    </row>
    <row r="4" spans="1:15" ht="31" x14ac:dyDescent="0.7">
      <c r="A4" s="16">
        <f>SUM(SalesData[Revenue])</f>
        <v>29127000</v>
      </c>
      <c r="B4" s="8"/>
      <c r="C4" s="17">
        <f>COUNTA(SalesData[Order_ID])</f>
        <v>500</v>
      </c>
      <c r="D4" s="8"/>
      <c r="E4" s="17">
        <f>SUM(SalesData[Quantity])</f>
        <v>1464</v>
      </c>
      <c r="F4" s="6"/>
      <c r="G4" s="18">
        <f>AVERAGE(SalesData[Revenue])</f>
        <v>58254</v>
      </c>
      <c r="H4" s="6"/>
      <c r="I4" s="12"/>
      <c r="J4" s="6"/>
      <c r="K4" s="6"/>
      <c r="L4" s="6"/>
      <c r="M4" s="6"/>
    </row>
    <row r="5" spans="1:15" x14ac:dyDescent="0.35">
      <c r="A5" s="6"/>
      <c r="B5" s="6"/>
      <c r="C5" s="6"/>
      <c r="D5" s="6"/>
      <c r="E5" s="6"/>
      <c r="F5" s="6"/>
      <c r="G5" s="6"/>
      <c r="H5" s="6"/>
      <c r="I5" s="6"/>
      <c r="J5" s="6"/>
      <c r="K5" s="6"/>
      <c r="L5" s="6"/>
      <c r="M5" s="6"/>
    </row>
    <row r="6" spans="1:15" x14ac:dyDescent="0.35">
      <c r="A6" s="6"/>
      <c r="B6" s="6"/>
      <c r="C6" s="6"/>
      <c r="D6" s="6"/>
      <c r="E6" s="6"/>
      <c r="F6" s="6"/>
      <c r="G6" s="6"/>
      <c r="H6" s="6"/>
      <c r="I6" s="6"/>
      <c r="J6" s="6"/>
      <c r="K6" s="6"/>
      <c r="L6" s="6"/>
      <c r="M6" s="6"/>
    </row>
    <row r="7" spans="1:15" x14ac:dyDescent="0.35">
      <c r="A7" s="6"/>
      <c r="B7" s="6"/>
      <c r="C7" s="6"/>
      <c r="D7" s="6"/>
      <c r="E7" s="6"/>
      <c r="F7" s="6"/>
      <c r="G7" s="6"/>
      <c r="H7" s="6"/>
      <c r="I7" s="6"/>
      <c r="J7" s="6"/>
      <c r="K7" s="6"/>
      <c r="L7" s="6"/>
      <c r="M7" s="6"/>
    </row>
    <row r="8" spans="1:15" x14ac:dyDescent="0.35">
      <c r="A8" s="6"/>
      <c r="B8" s="6"/>
      <c r="C8" s="6"/>
      <c r="D8" s="6"/>
      <c r="E8" s="6"/>
      <c r="F8" s="6"/>
      <c r="G8" s="6"/>
      <c r="H8" s="6"/>
      <c r="I8" s="6"/>
      <c r="J8" s="6"/>
      <c r="K8" s="6"/>
      <c r="L8" s="6"/>
      <c r="M8" s="6"/>
    </row>
    <row r="9" spans="1:15" x14ac:dyDescent="0.35">
      <c r="A9" s="6"/>
      <c r="B9" s="6"/>
      <c r="C9" s="6"/>
      <c r="D9" s="6"/>
      <c r="E9" s="6"/>
      <c r="F9" s="6"/>
      <c r="G9" s="6"/>
      <c r="H9" s="6"/>
      <c r="I9" s="6"/>
      <c r="J9" s="6"/>
      <c r="K9" s="6"/>
      <c r="L9" s="6"/>
      <c r="M9" s="6"/>
    </row>
    <row r="10" spans="1:15" x14ac:dyDescent="0.35">
      <c r="A10" s="6"/>
      <c r="B10" s="6"/>
      <c r="C10" s="6"/>
      <c r="D10" s="6"/>
      <c r="E10" s="6"/>
      <c r="F10" s="6"/>
      <c r="G10" s="6"/>
      <c r="H10" s="6"/>
      <c r="I10" s="6"/>
      <c r="J10" s="6"/>
      <c r="K10" s="6"/>
      <c r="L10" s="6"/>
      <c r="M10" s="6"/>
    </row>
    <row r="11" spans="1:15" x14ac:dyDescent="0.35">
      <c r="A11" s="6"/>
      <c r="B11" s="6"/>
      <c r="C11" s="6"/>
      <c r="D11" s="6"/>
      <c r="E11" s="6"/>
      <c r="F11" s="6"/>
      <c r="G11" s="6"/>
      <c r="H11" s="6"/>
      <c r="I11" s="6"/>
      <c r="J11" s="6"/>
      <c r="K11" s="6"/>
      <c r="L11" s="6"/>
      <c r="M11" s="6"/>
    </row>
    <row r="12" spans="1:15" x14ac:dyDescent="0.35">
      <c r="A12" s="6"/>
      <c r="B12" s="6"/>
      <c r="C12" s="6"/>
      <c r="D12" s="6"/>
      <c r="E12" s="6"/>
      <c r="F12" s="6"/>
      <c r="G12" s="6"/>
      <c r="H12" s="6"/>
      <c r="I12" s="6"/>
      <c r="J12" s="6"/>
      <c r="K12" s="6"/>
      <c r="L12" s="6"/>
      <c r="M12" s="6"/>
    </row>
    <row r="13" spans="1:15" x14ac:dyDescent="0.35">
      <c r="A13" s="6"/>
      <c r="B13" s="6"/>
      <c r="C13" s="6"/>
      <c r="D13" s="6"/>
      <c r="E13" s="6"/>
      <c r="F13" s="6"/>
      <c r="G13" s="6"/>
      <c r="H13" s="6"/>
      <c r="I13" s="6"/>
      <c r="J13" s="6"/>
      <c r="K13" s="6"/>
      <c r="L13" s="6"/>
      <c r="M13" s="6"/>
    </row>
    <row r="14" spans="1:15" x14ac:dyDescent="0.35">
      <c r="A14" s="6"/>
      <c r="B14" s="6"/>
      <c r="C14" s="6"/>
      <c r="D14" s="6"/>
      <c r="E14" s="6"/>
      <c r="F14" s="6"/>
      <c r="G14" s="6"/>
      <c r="H14" s="6"/>
      <c r="I14" s="6"/>
      <c r="J14" s="6"/>
      <c r="K14" s="6"/>
      <c r="L14" s="6"/>
      <c r="M14" s="6"/>
    </row>
    <row r="15" spans="1:15" x14ac:dyDescent="0.35">
      <c r="A15" s="6"/>
      <c r="B15" s="6"/>
      <c r="C15" s="6"/>
      <c r="D15" s="6"/>
      <c r="E15" s="6"/>
      <c r="F15" s="6"/>
      <c r="G15" s="6"/>
      <c r="H15" s="6"/>
      <c r="I15" s="6"/>
      <c r="J15" s="6"/>
      <c r="K15" s="6"/>
      <c r="L15" s="6"/>
      <c r="M15" s="6"/>
    </row>
    <row r="16" spans="1:15" x14ac:dyDescent="0.35">
      <c r="A16" s="6"/>
      <c r="B16" s="6"/>
      <c r="C16" s="6"/>
      <c r="D16" s="6"/>
      <c r="E16" s="6"/>
      <c r="F16" s="6"/>
      <c r="G16" s="6"/>
      <c r="H16" s="6"/>
      <c r="I16" s="6"/>
      <c r="J16" s="6"/>
      <c r="K16" s="6"/>
      <c r="L16" s="6"/>
      <c r="M16" s="6"/>
    </row>
    <row r="17" spans="1:13" x14ac:dyDescent="0.35">
      <c r="A17" s="6"/>
      <c r="B17" s="6"/>
      <c r="C17" s="6"/>
      <c r="D17" s="6"/>
      <c r="E17" s="6"/>
      <c r="F17" s="6"/>
      <c r="G17" s="6"/>
      <c r="H17" s="6"/>
      <c r="I17" s="6"/>
      <c r="J17" s="6"/>
      <c r="K17" s="6"/>
      <c r="L17" s="6"/>
      <c r="M17" s="6"/>
    </row>
    <row r="18" spans="1:13" x14ac:dyDescent="0.35">
      <c r="A18" s="6"/>
      <c r="B18" s="6"/>
      <c r="C18" s="6"/>
      <c r="D18" s="6"/>
      <c r="E18" s="6"/>
      <c r="F18" s="6"/>
      <c r="G18" s="6"/>
      <c r="H18" s="6"/>
      <c r="I18" s="6"/>
      <c r="J18" s="6"/>
      <c r="K18" s="6"/>
      <c r="L18" s="6"/>
      <c r="M18" s="6"/>
    </row>
    <row r="19" spans="1:13" x14ac:dyDescent="0.35">
      <c r="A19" s="6"/>
      <c r="B19" s="6"/>
      <c r="C19" s="6"/>
      <c r="D19" s="6"/>
      <c r="E19" s="6"/>
      <c r="F19" s="6"/>
      <c r="G19" s="6"/>
      <c r="H19" s="6"/>
      <c r="I19" s="6"/>
      <c r="J19" s="6"/>
      <c r="K19" s="6"/>
      <c r="L19" s="6"/>
      <c r="M19" s="6"/>
    </row>
    <row r="20" spans="1:13" x14ac:dyDescent="0.35">
      <c r="A20" s="6"/>
      <c r="B20" s="6"/>
      <c r="C20" s="6"/>
      <c r="D20" s="6"/>
      <c r="E20" s="6"/>
      <c r="F20" s="6"/>
      <c r="G20" s="6"/>
      <c r="H20" s="6"/>
      <c r="I20" s="6"/>
      <c r="J20" s="6"/>
      <c r="K20" s="6"/>
      <c r="L20" s="6"/>
      <c r="M20" s="6"/>
    </row>
    <row r="21" spans="1:13" x14ac:dyDescent="0.35">
      <c r="A21" s="6"/>
      <c r="B21" s="6"/>
      <c r="C21" s="6"/>
      <c r="D21" s="6"/>
      <c r="E21" s="6"/>
      <c r="F21" s="6"/>
      <c r="G21" s="6"/>
      <c r="H21" s="6"/>
      <c r="I21" s="6"/>
      <c r="J21" s="6"/>
      <c r="K21" s="6"/>
      <c r="L21" s="6"/>
      <c r="M21" s="6"/>
    </row>
    <row r="22" spans="1:13" x14ac:dyDescent="0.35">
      <c r="A22" s="6"/>
      <c r="B22" s="6"/>
      <c r="C22" s="6"/>
      <c r="D22" s="6"/>
      <c r="E22" s="6"/>
      <c r="F22" s="6"/>
      <c r="G22" s="6"/>
      <c r="H22" s="6"/>
      <c r="I22" s="6"/>
      <c r="J22" s="6"/>
      <c r="K22" s="6"/>
      <c r="L22" s="6"/>
      <c r="M22" s="6"/>
    </row>
    <row r="23" spans="1:13" x14ac:dyDescent="0.35">
      <c r="A23" s="6"/>
      <c r="B23" s="6"/>
      <c r="C23" s="6"/>
      <c r="D23" s="6"/>
      <c r="E23" s="6"/>
      <c r="F23" s="6"/>
      <c r="G23" s="6"/>
      <c r="H23" s="6"/>
      <c r="I23" s="6"/>
      <c r="J23" s="6"/>
      <c r="K23" s="6"/>
      <c r="L23" s="6"/>
      <c r="M23" s="6"/>
    </row>
    <row r="24" spans="1:13" x14ac:dyDescent="0.35">
      <c r="A24" s="6"/>
      <c r="B24" s="6"/>
      <c r="C24" s="6"/>
      <c r="D24" s="6"/>
      <c r="E24" s="6"/>
      <c r="F24" s="6"/>
      <c r="G24" s="6"/>
      <c r="H24" s="6"/>
      <c r="I24" s="6"/>
      <c r="J24" s="6"/>
      <c r="K24" s="6"/>
      <c r="L24" s="6"/>
      <c r="M24" s="6"/>
    </row>
    <row r="25" spans="1:13" x14ac:dyDescent="0.35">
      <c r="A25" s="6"/>
      <c r="B25" s="6"/>
      <c r="C25" s="6"/>
      <c r="D25" s="6"/>
      <c r="E25" s="6"/>
      <c r="F25" s="6"/>
      <c r="G25" s="6"/>
      <c r="H25" s="6"/>
      <c r="I25" s="6"/>
      <c r="J25" s="6"/>
      <c r="K25" s="6"/>
      <c r="L25" s="6"/>
      <c r="M25" s="6"/>
    </row>
    <row r="26" spans="1:13" x14ac:dyDescent="0.35">
      <c r="A26" s="6"/>
      <c r="B26" s="6"/>
      <c r="C26" s="6"/>
      <c r="D26" s="6"/>
      <c r="E26" s="6"/>
      <c r="F26" s="6"/>
      <c r="G26" s="6"/>
      <c r="H26" s="6"/>
      <c r="I26" s="6"/>
      <c r="J26" s="6"/>
      <c r="K26" s="6"/>
      <c r="L26" s="6"/>
      <c r="M26" s="6"/>
    </row>
    <row r="27" spans="1:13" x14ac:dyDescent="0.35">
      <c r="A27" s="6"/>
      <c r="B27" s="6"/>
      <c r="C27" s="6"/>
      <c r="D27" s="6"/>
      <c r="E27" s="6"/>
      <c r="F27" s="6"/>
      <c r="G27" s="6"/>
      <c r="H27" s="6"/>
      <c r="I27" s="6"/>
      <c r="J27" s="6"/>
      <c r="K27" s="6"/>
      <c r="L27" s="6"/>
      <c r="M27" s="6"/>
    </row>
    <row r="28" spans="1:13" x14ac:dyDescent="0.35">
      <c r="A28" s="6"/>
      <c r="B28" s="6"/>
      <c r="C28" s="6"/>
      <c r="D28" s="6"/>
      <c r="E28" s="6"/>
      <c r="F28" s="6"/>
      <c r="G28" s="6"/>
      <c r="H28" s="6"/>
      <c r="I28" s="6"/>
      <c r="J28" s="6"/>
      <c r="K28" s="6"/>
      <c r="L28" s="6"/>
      <c r="M28" s="6"/>
    </row>
    <row r="29" spans="1:13" x14ac:dyDescent="0.35">
      <c r="A29" s="6"/>
      <c r="B29" s="6"/>
      <c r="C29" s="6"/>
      <c r="D29" s="6"/>
      <c r="E29" s="6"/>
      <c r="F29" s="6"/>
      <c r="G29" s="6"/>
      <c r="H29" s="6"/>
      <c r="I29" s="6"/>
      <c r="J29" s="6"/>
      <c r="K29" s="6"/>
      <c r="L29" s="6"/>
      <c r="M29" s="6"/>
    </row>
    <row r="30" spans="1:13" x14ac:dyDescent="0.35">
      <c r="A30" s="6"/>
      <c r="B30" s="6"/>
      <c r="C30" s="6"/>
      <c r="D30" s="6"/>
      <c r="E30" s="6"/>
      <c r="F30" s="6"/>
      <c r="G30" s="6"/>
      <c r="H30" s="6"/>
      <c r="I30" s="6"/>
      <c r="J30" s="6"/>
      <c r="K30" s="6"/>
      <c r="L30" s="6"/>
      <c r="M30" s="6"/>
    </row>
    <row r="31" spans="1:13" x14ac:dyDescent="0.35">
      <c r="A31" s="6"/>
      <c r="B31" s="6"/>
      <c r="C31" s="6"/>
      <c r="D31" s="6"/>
      <c r="E31" s="6"/>
      <c r="F31" s="6"/>
      <c r="G31" s="6"/>
      <c r="H31" s="6"/>
      <c r="I31" s="6"/>
      <c r="J31" s="6"/>
      <c r="K31" s="6"/>
      <c r="L31" s="6"/>
      <c r="M31" s="6"/>
    </row>
    <row r="32" spans="1:13" x14ac:dyDescent="0.35">
      <c r="A32" s="6"/>
      <c r="B32" s="6"/>
      <c r="C32" s="6"/>
      <c r="D32" s="6"/>
      <c r="E32" s="6"/>
      <c r="F32" s="6"/>
      <c r="G32" s="6"/>
      <c r="H32" s="6"/>
      <c r="I32" s="6"/>
      <c r="J32" s="6"/>
      <c r="K32" s="6"/>
      <c r="L32" s="6"/>
      <c r="M32" s="6"/>
    </row>
    <row r="33" spans="1:13" x14ac:dyDescent="0.35">
      <c r="A33" s="6"/>
      <c r="B33" s="6"/>
      <c r="C33" s="6"/>
      <c r="D33" s="6"/>
      <c r="E33" s="6"/>
      <c r="F33" s="6"/>
      <c r="G33" s="6"/>
      <c r="H33" s="6"/>
      <c r="I33" s="6"/>
      <c r="J33" s="6"/>
      <c r="K33" s="6"/>
      <c r="L33" s="6"/>
      <c r="M33" s="6"/>
    </row>
    <row r="34" spans="1:13" x14ac:dyDescent="0.35">
      <c r="A34" s="6"/>
      <c r="B34" s="6"/>
      <c r="C34" s="6"/>
      <c r="D34" s="6"/>
      <c r="E34" s="6"/>
      <c r="F34" s="6"/>
      <c r="G34" s="6"/>
      <c r="H34" s="6"/>
      <c r="I34" s="6"/>
      <c r="J34" s="6"/>
      <c r="K34" s="6"/>
      <c r="L34" s="6"/>
      <c r="M34" s="6"/>
    </row>
    <row r="35" spans="1:13" x14ac:dyDescent="0.35">
      <c r="A35" s="6"/>
      <c r="B35" s="6"/>
      <c r="C35" s="6"/>
      <c r="D35" s="6"/>
      <c r="E35" s="6"/>
      <c r="F35" s="6"/>
      <c r="G35" s="6"/>
      <c r="H35" s="6"/>
      <c r="I35" s="6"/>
      <c r="J35" s="6"/>
      <c r="K35" s="6"/>
      <c r="L35" s="6"/>
      <c r="M35" s="6"/>
    </row>
    <row r="36" spans="1:13" x14ac:dyDescent="0.35">
      <c r="A36" s="6"/>
      <c r="B36" s="6"/>
      <c r="C36" s="6"/>
      <c r="D36" s="6"/>
      <c r="E36" s="6"/>
      <c r="F36" s="6"/>
      <c r="G36" s="6"/>
      <c r="H36" s="6"/>
      <c r="I36" s="6"/>
      <c r="J36" s="6"/>
      <c r="K36" s="6"/>
      <c r="L36" s="6"/>
      <c r="M36" s="6"/>
    </row>
    <row r="37" spans="1:13" x14ac:dyDescent="0.35">
      <c r="A37" s="6"/>
      <c r="B37" s="6"/>
      <c r="C37" s="6"/>
      <c r="D37" s="6"/>
      <c r="E37" s="6"/>
      <c r="F37" s="6"/>
      <c r="G37" s="6"/>
      <c r="H37" s="6"/>
      <c r="I37" s="6"/>
      <c r="J37" s="6"/>
      <c r="K37" s="6"/>
      <c r="L37" s="6"/>
      <c r="M37" s="6"/>
    </row>
    <row r="38" spans="1:13" x14ac:dyDescent="0.35">
      <c r="A38" s="6"/>
      <c r="B38" s="6"/>
      <c r="C38" s="6"/>
      <c r="D38" s="6"/>
      <c r="E38" s="6"/>
      <c r="F38" s="6"/>
      <c r="G38" s="6"/>
      <c r="H38" s="6"/>
      <c r="I38" s="6"/>
      <c r="J38" s="6"/>
      <c r="K38" s="6"/>
      <c r="L38" s="6"/>
      <c r="M38" s="6"/>
    </row>
    <row r="39" spans="1:13" x14ac:dyDescent="0.35">
      <c r="A39" s="6"/>
      <c r="B39" s="6"/>
      <c r="C39" s="6"/>
      <c r="D39" s="6"/>
      <c r="E39" s="6"/>
      <c r="F39" s="6"/>
      <c r="G39" s="6"/>
      <c r="H39" s="6"/>
      <c r="I39" s="6"/>
      <c r="J39" s="6"/>
      <c r="K39" s="6"/>
      <c r="L39" s="6"/>
      <c r="M39" s="6"/>
    </row>
  </sheetData>
  <mergeCells count="1">
    <mergeCell ref="A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Sales_Data</vt:lpstr>
      <vt:lpstr>Region_Sales</vt:lpstr>
      <vt:lpstr>Product_Performance</vt:lpstr>
      <vt:lpstr>Monthly_Sales</vt:lpstr>
      <vt:lpstr>Salesperson_Performance</vt:lpstr>
      <vt:lpstr>MIS_Dashboard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Keshwanth GP</cp:lastModifiedBy>
  <dcterms:created xsi:type="dcterms:W3CDTF">2026-03-08T14:21:12Z</dcterms:created>
  <dcterms:modified xsi:type="dcterms:W3CDTF">2026-03-10T14:39:13Z</dcterms:modified>
</cp:coreProperties>
</file>